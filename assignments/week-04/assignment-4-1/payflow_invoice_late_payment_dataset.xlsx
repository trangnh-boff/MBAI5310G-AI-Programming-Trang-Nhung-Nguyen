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rangnhungnguyen/Library/Containers/com.trendmicro.DrUnzip/Data/tmp/UnarchiverOne/.du..jv2xhsqocd/payflow_invoice_late_payment_business_plan.zip/"/>
    </mc:Choice>
  </mc:AlternateContent>
  <xr:revisionPtr revIDLastSave="0" documentId="11_F8890DC877F7F1D031BE527443645617A7536CED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Invoice_Payment_Data" sheetId="1" r:id="rId1"/>
    <sheet name="Data_Dictionary" sheetId="2" r:id="rId2"/>
    <sheet name="Assignment_Notes" sheetId="3" r:id="rId3"/>
    <sheet name="Dataset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B17" i="4"/>
  <c r="B16" i="4"/>
  <c r="B13" i="4"/>
  <c r="B12" i="4"/>
  <c r="B11" i="4"/>
  <c r="B8" i="4"/>
  <c r="B7" i="4"/>
</calcChain>
</file>

<file path=xl/sharedStrings.xml><?xml version="1.0" encoding="utf-8"?>
<sst xmlns="http://schemas.openxmlformats.org/spreadsheetml/2006/main" count="3726" uniqueCount="473">
  <si>
    <t>Invoice_ID</t>
  </si>
  <si>
    <t>Customer_Segment</t>
  </si>
  <si>
    <t>Industry</t>
  </si>
  <si>
    <t>Region</t>
  </si>
  <si>
    <t>Invoice_Month</t>
  </si>
  <si>
    <t>Invoice_Amount</t>
  </si>
  <si>
    <t>Payment_Terms_Days</t>
  </si>
  <si>
    <t>Customer_Tenure_Months</t>
  </si>
  <si>
    <t>Prior_Late_Payments</t>
  </si>
  <si>
    <t>Avg_Days_To_Pay</t>
  </si>
  <si>
    <t>Days_Since_Last_Order</t>
  </si>
  <si>
    <t>Dispute_Flag</t>
  </si>
  <si>
    <t>Reminder_Count</t>
  </si>
  <si>
    <t>Online_Portal_Use</t>
  </si>
  <si>
    <t>Early_Payment_Discount_Offered</t>
  </si>
  <si>
    <t>Credit_Score_Band</t>
  </si>
  <si>
    <t>Late_Payment</t>
  </si>
  <si>
    <t>INV-20260001</t>
  </si>
  <si>
    <t>Small Business</t>
  </si>
  <si>
    <t>Construction</t>
  </si>
  <si>
    <t>Prairies</t>
  </si>
  <si>
    <t>Aug</t>
  </si>
  <si>
    <t>No</t>
  </si>
  <si>
    <t>Yes</t>
  </si>
  <si>
    <t>Medium</t>
  </si>
  <si>
    <t>INV-20260002</t>
  </si>
  <si>
    <t>Healthcare Services</t>
  </si>
  <si>
    <t>British Columbia</t>
  </si>
  <si>
    <t>High</t>
  </si>
  <si>
    <t>INV-20260003</t>
  </si>
  <si>
    <t>Mid-Market</t>
  </si>
  <si>
    <t>Retail</t>
  </si>
  <si>
    <t>Dec</t>
  </si>
  <si>
    <t>INV-20260004</t>
  </si>
  <si>
    <t>Sep</t>
  </si>
  <si>
    <t>Low</t>
  </si>
  <si>
    <t>INV-20260005</t>
  </si>
  <si>
    <t>Technology</t>
  </si>
  <si>
    <t>Alberta</t>
  </si>
  <si>
    <t>INV-20260006</t>
  </si>
  <si>
    <t>Oct</t>
  </si>
  <si>
    <t>INV-20260007</t>
  </si>
  <si>
    <t>Quebec</t>
  </si>
  <si>
    <t>Jun</t>
  </si>
  <si>
    <t>INV-20260008</t>
  </si>
  <si>
    <t>INV-20260009</t>
  </si>
  <si>
    <t>Enterprise</t>
  </si>
  <si>
    <t>Ontario</t>
  </si>
  <si>
    <t>Jul</t>
  </si>
  <si>
    <t>INV-20260010</t>
  </si>
  <si>
    <t>Apr</t>
  </si>
  <si>
    <t>INV-20260011</t>
  </si>
  <si>
    <t>Manufacturing</t>
  </si>
  <si>
    <t>Nov</t>
  </si>
  <si>
    <t>INV-20260012</t>
  </si>
  <si>
    <t>Professional Services</t>
  </si>
  <si>
    <t>INV-20260013</t>
  </si>
  <si>
    <t>INV-20260014</t>
  </si>
  <si>
    <t>May</t>
  </si>
  <si>
    <t>INV-20260015</t>
  </si>
  <si>
    <t>Jan</t>
  </si>
  <si>
    <t>INV-20260016</t>
  </si>
  <si>
    <t>INV-20260017</t>
  </si>
  <si>
    <t>INV-20260018</t>
  </si>
  <si>
    <t>INV-20260019</t>
  </si>
  <si>
    <t>INV-20260020</t>
  </si>
  <si>
    <t>Atlantic Canada</t>
  </si>
  <si>
    <t>INV-20260021</t>
  </si>
  <si>
    <t>INV-20260022</t>
  </si>
  <si>
    <t>INV-20260023</t>
  </si>
  <si>
    <t>INV-20260024</t>
  </si>
  <si>
    <t>INV-20260025</t>
  </si>
  <si>
    <t>INV-20260026</t>
  </si>
  <si>
    <t>INV-20260027</t>
  </si>
  <si>
    <t>INV-20260028</t>
  </si>
  <si>
    <t>INV-20260029</t>
  </si>
  <si>
    <t>INV-20260030</t>
  </si>
  <si>
    <t>INV-20260031</t>
  </si>
  <si>
    <t>INV-20260032</t>
  </si>
  <si>
    <t>INV-20260033</t>
  </si>
  <si>
    <t>INV-20260034</t>
  </si>
  <si>
    <t>INV-20260035</t>
  </si>
  <si>
    <t>INV-20260036</t>
  </si>
  <si>
    <t>INV-20260037</t>
  </si>
  <si>
    <t>INV-20260038</t>
  </si>
  <si>
    <t>Feb</t>
  </si>
  <si>
    <t>INV-20260039</t>
  </si>
  <si>
    <t>INV-20260040</t>
  </si>
  <si>
    <t>INV-20260041</t>
  </si>
  <si>
    <t>INV-20260042</t>
  </si>
  <si>
    <t>INV-20260043</t>
  </si>
  <si>
    <t>INV-20260044</t>
  </si>
  <si>
    <t>INV-20260045</t>
  </si>
  <si>
    <t>INV-20260046</t>
  </si>
  <si>
    <t>INV-20260047</t>
  </si>
  <si>
    <t>INV-20260048</t>
  </si>
  <si>
    <t>INV-20260049</t>
  </si>
  <si>
    <t>INV-20260050</t>
  </si>
  <si>
    <t>INV-20260051</t>
  </si>
  <si>
    <t>INV-20260052</t>
  </si>
  <si>
    <t>INV-20260053</t>
  </si>
  <si>
    <t>INV-20260054</t>
  </si>
  <si>
    <t>INV-20260055</t>
  </si>
  <si>
    <t>Mar</t>
  </si>
  <si>
    <t>INV-20260056</t>
  </si>
  <si>
    <t>INV-20260057</t>
  </si>
  <si>
    <t>INV-20260058</t>
  </si>
  <si>
    <t>INV-20260059</t>
  </si>
  <si>
    <t>INV-20260060</t>
  </si>
  <si>
    <t>INV-20260061</t>
  </si>
  <si>
    <t>INV-20260062</t>
  </si>
  <si>
    <t>INV-20260063</t>
  </si>
  <si>
    <t>INV-20260064</t>
  </si>
  <si>
    <t>INV-20260065</t>
  </si>
  <si>
    <t>INV-20260066</t>
  </si>
  <si>
    <t>INV-20260067</t>
  </si>
  <si>
    <t>INV-20260068</t>
  </si>
  <si>
    <t>INV-20260069</t>
  </si>
  <si>
    <t>INV-20260070</t>
  </si>
  <si>
    <t>INV-20260071</t>
  </si>
  <si>
    <t>INV-20260072</t>
  </si>
  <si>
    <t>INV-20260073</t>
  </si>
  <si>
    <t>INV-20260074</t>
  </si>
  <si>
    <t>INV-20260075</t>
  </si>
  <si>
    <t>INV-20260076</t>
  </si>
  <si>
    <t>INV-20260077</t>
  </si>
  <si>
    <t>INV-20260078</t>
  </si>
  <si>
    <t>INV-20260079</t>
  </si>
  <si>
    <t>INV-20260080</t>
  </si>
  <si>
    <t>INV-20260081</t>
  </si>
  <si>
    <t>INV-20260082</t>
  </si>
  <si>
    <t>INV-20260083</t>
  </si>
  <si>
    <t>INV-20260084</t>
  </si>
  <si>
    <t>INV-20260085</t>
  </si>
  <si>
    <t>INV-20260086</t>
  </si>
  <si>
    <t>INV-20260087</t>
  </si>
  <si>
    <t>INV-20260088</t>
  </si>
  <si>
    <t>INV-20260089</t>
  </si>
  <si>
    <t>INV-20260090</t>
  </si>
  <si>
    <t>INV-20260091</t>
  </si>
  <si>
    <t>INV-20260092</t>
  </si>
  <si>
    <t>INV-20260093</t>
  </si>
  <si>
    <t>INV-20260094</t>
  </si>
  <si>
    <t>INV-20260095</t>
  </si>
  <si>
    <t>INV-20260096</t>
  </si>
  <si>
    <t>INV-20260097</t>
  </si>
  <si>
    <t>INV-20260098</t>
  </si>
  <si>
    <t>INV-20260099</t>
  </si>
  <si>
    <t>INV-20260100</t>
  </si>
  <si>
    <t>INV-20260101</t>
  </si>
  <si>
    <t>INV-20260102</t>
  </si>
  <si>
    <t>INV-20260103</t>
  </si>
  <si>
    <t>INV-20260104</t>
  </si>
  <si>
    <t>INV-20260105</t>
  </si>
  <si>
    <t>INV-20260106</t>
  </si>
  <si>
    <t>INV-20260107</t>
  </si>
  <si>
    <t>INV-20260108</t>
  </si>
  <si>
    <t>INV-20260109</t>
  </si>
  <si>
    <t>INV-20260110</t>
  </si>
  <si>
    <t>INV-20260111</t>
  </si>
  <si>
    <t>INV-20260112</t>
  </si>
  <si>
    <t>INV-20260113</t>
  </si>
  <si>
    <t>INV-20260114</t>
  </si>
  <si>
    <t>INV-20260115</t>
  </si>
  <si>
    <t>INV-20260116</t>
  </si>
  <si>
    <t>INV-20260117</t>
  </si>
  <si>
    <t>INV-20260118</t>
  </si>
  <si>
    <t>INV-20260119</t>
  </si>
  <si>
    <t>INV-20260120</t>
  </si>
  <si>
    <t>INV-20260121</t>
  </si>
  <si>
    <t>INV-20260122</t>
  </si>
  <si>
    <t>INV-20260123</t>
  </si>
  <si>
    <t>INV-20260124</t>
  </si>
  <si>
    <t>INV-20260125</t>
  </si>
  <si>
    <t>INV-20260126</t>
  </si>
  <si>
    <t>INV-20260127</t>
  </si>
  <si>
    <t>INV-20260128</t>
  </si>
  <si>
    <t>INV-20260129</t>
  </si>
  <si>
    <t>INV-20260130</t>
  </si>
  <si>
    <t>INV-20260131</t>
  </si>
  <si>
    <t>INV-20260132</t>
  </si>
  <si>
    <t>INV-20260133</t>
  </si>
  <si>
    <t>INV-20260134</t>
  </si>
  <si>
    <t>INV-20260135</t>
  </si>
  <si>
    <t>INV-20260136</t>
  </si>
  <si>
    <t>INV-20260137</t>
  </si>
  <si>
    <t>INV-20260138</t>
  </si>
  <si>
    <t>INV-20260139</t>
  </si>
  <si>
    <t>INV-20260140</t>
  </si>
  <si>
    <t>INV-20260141</t>
  </si>
  <si>
    <t>INV-20260142</t>
  </si>
  <si>
    <t>INV-20260143</t>
  </si>
  <si>
    <t>INV-20260144</t>
  </si>
  <si>
    <t>INV-20260145</t>
  </si>
  <si>
    <t>INV-20260146</t>
  </si>
  <si>
    <t>INV-20260147</t>
  </si>
  <si>
    <t>INV-20260148</t>
  </si>
  <si>
    <t>INV-20260149</t>
  </si>
  <si>
    <t>INV-20260150</t>
  </si>
  <si>
    <t>INV-20260151</t>
  </si>
  <si>
    <t>INV-20260152</t>
  </si>
  <si>
    <t>INV-20260153</t>
  </si>
  <si>
    <t>INV-20260154</t>
  </si>
  <si>
    <t>INV-20260155</t>
  </si>
  <si>
    <t>INV-20260156</t>
  </si>
  <si>
    <t>INV-20260157</t>
  </si>
  <si>
    <t>INV-20260158</t>
  </si>
  <si>
    <t>INV-20260159</t>
  </si>
  <si>
    <t>INV-20260160</t>
  </si>
  <si>
    <t>INV-20260161</t>
  </si>
  <si>
    <t>INV-20260162</t>
  </si>
  <si>
    <t>INV-20260163</t>
  </si>
  <si>
    <t>INV-20260164</t>
  </si>
  <si>
    <t>INV-20260165</t>
  </si>
  <si>
    <t>INV-20260166</t>
  </si>
  <si>
    <t>INV-20260167</t>
  </si>
  <si>
    <t>INV-20260168</t>
  </si>
  <si>
    <t>INV-20260169</t>
  </si>
  <si>
    <t>INV-20260170</t>
  </si>
  <si>
    <t>INV-20260171</t>
  </si>
  <si>
    <t>INV-20260172</t>
  </si>
  <si>
    <t>INV-20260173</t>
  </si>
  <si>
    <t>INV-20260174</t>
  </si>
  <si>
    <t>INV-20260175</t>
  </si>
  <si>
    <t>INV-20260176</t>
  </si>
  <si>
    <t>INV-20260177</t>
  </si>
  <si>
    <t>INV-20260178</t>
  </si>
  <si>
    <t>INV-20260179</t>
  </si>
  <si>
    <t>INV-20260180</t>
  </si>
  <si>
    <t>INV-20260181</t>
  </si>
  <si>
    <t>INV-20260182</t>
  </si>
  <si>
    <t>INV-20260183</t>
  </si>
  <si>
    <t>INV-20260184</t>
  </si>
  <si>
    <t>INV-20260185</t>
  </si>
  <si>
    <t>INV-20260186</t>
  </si>
  <si>
    <t>INV-20260187</t>
  </si>
  <si>
    <t>INV-20260188</t>
  </si>
  <si>
    <t>INV-20260189</t>
  </si>
  <si>
    <t>INV-20260190</t>
  </si>
  <si>
    <t>INV-20260191</t>
  </si>
  <si>
    <t>INV-20260192</t>
  </si>
  <si>
    <t>INV-20260193</t>
  </si>
  <si>
    <t>INV-20260194</t>
  </si>
  <si>
    <t>INV-20260195</t>
  </si>
  <si>
    <t>INV-20260196</t>
  </si>
  <si>
    <t>INV-20260197</t>
  </si>
  <si>
    <t>INV-20260198</t>
  </si>
  <si>
    <t>INV-20260199</t>
  </si>
  <si>
    <t>INV-20260200</t>
  </si>
  <si>
    <t>INV-20260201</t>
  </si>
  <si>
    <t>INV-20260202</t>
  </si>
  <si>
    <t>INV-20260203</t>
  </si>
  <si>
    <t>INV-20260204</t>
  </si>
  <si>
    <t>INV-20260205</t>
  </si>
  <si>
    <t>INV-20260206</t>
  </si>
  <si>
    <t>INV-20260207</t>
  </si>
  <si>
    <t>INV-20260208</t>
  </si>
  <si>
    <t>INV-20260209</t>
  </si>
  <si>
    <t>INV-20260210</t>
  </si>
  <si>
    <t>INV-20260211</t>
  </si>
  <si>
    <t>INV-20260212</t>
  </si>
  <si>
    <t>INV-20260213</t>
  </si>
  <si>
    <t>INV-20260214</t>
  </si>
  <si>
    <t>INV-20260215</t>
  </si>
  <si>
    <t>INV-20260216</t>
  </si>
  <si>
    <t>INV-20260217</t>
  </si>
  <si>
    <t>INV-20260218</t>
  </si>
  <si>
    <t>INV-20260219</t>
  </si>
  <si>
    <t>INV-20260220</t>
  </si>
  <si>
    <t>INV-20260221</t>
  </si>
  <si>
    <t>INV-20260222</t>
  </si>
  <si>
    <t>INV-20260223</t>
  </si>
  <si>
    <t>INV-20260224</t>
  </si>
  <si>
    <t>INV-20260225</t>
  </si>
  <si>
    <t>INV-20260226</t>
  </si>
  <si>
    <t>INV-20260227</t>
  </si>
  <si>
    <t>INV-20260228</t>
  </si>
  <si>
    <t>INV-20260229</t>
  </si>
  <si>
    <t>INV-20260230</t>
  </si>
  <si>
    <t>INV-20260231</t>
  </si>
  <si>
    <t>INV-20260232</t>
  </si>
  <si>
    <t>INV-20260233</t>
  </si>
  <si>
    <t>INV-20260234</t>
  </si>
  <si>
    <t>INV-20260235</t>
  </si>
  <si>
    <t>INV-20260236</t>
  </si>
  <si>
    <t>INV-20260237</t>
  </si>
  <si>
    <t>INV-20260238</t>
  </si>
  <si>
    <t>INV-20260239</t>
  </si>
  <si>
    <t>INV-20260240</t>
  </si>
  <si>
    <t>INV-20260241</t>
  </si>
  <si>
    <t>INV-20260242</t>
  </si>
  <si>
    <t>INV-20260243</t>
  </si>
  <si>
    <t>INV-20260244</t>
  </si>
  <si>
    <t>INV-20260245</t>
  </si>
  <si>
    <t>INV-20260246</t>
  </si>
  <si>
    <t>INV-20260247</t>
  </si>
  <si>
    <t>INV-20260248</t>
  </si>
  <si>
    <t>INV-20260249</t>
  </si>
  <si>
    <t>INV-20260250</t>
  </si>
  <si>
    <t>INV-20260251</t>
  </si>
  <si>
    <t>INV-20260252</t>
  </si>
  <si>
    <t>INV-20260253</t>
  </si>
  <si>
    <t>INV-20260254</t>
  </si>
  <si>
    <t>INV-20260255</t>
  </si>
  <si>
    <t>INV-20260256</t>
  </si>
  <si>
    <t>INV-20260257</t>
  </si>
  <si>
    <t>INV-20260258</t>
  </si>
  <si>
    <t>INV-20260259</t>
  </si>
  <si>
    <t>INV-20260260</t>
  </si>
  <si>
    <t>INV-20260261</t>
  </si>
  <si>
    <t>INV-20260262</t>
  </si>
  <si>
    <t>INV-20260263</t>
  </si>
  <si>
    <t>INV-20260264</t>
  </si>
  <si>
    <t>INV-20260265</t>
  </si>
  <si>
    <t>INV-20260266</t>
  </si>
  <si>
    <t>INV-20260267</t>
  </si>
  <si>
    <t>INV-20260268</t>
  </si>
  <si>
    <t>INV-20260269</t>
  </si>
  <si>
    <t>INV-20260270</t>
  </si>
  <si>
    <t>INV-20260271</t>
  </si>
  <si>
    <t>INV-20260272</t>
  </si>
  <si>
    <t>INV-20260273</t>
  </si>
  <si>
    <t>INV-20260274</t>
  </si>
  <si>
    <t>INV-20260275</t>
  </si>
  <si>
    <t>INV-20260276</t>
  </si>
  <si>
    <t>INV-20260277</t>
  </si>
  <si>
    <t>INV-20260278</t>
  </si>
  <si>
    <t>INV-20260279</t>
  </si>
  <si>
    <t>INV-20260280</t>
  </si>
  <si>
    <t>INV-20260281</t>
  </si>
  <si>
    <t>INV-20260282</t>
  </si>
  <si>
    <t>INV-20260283</t>
  </si>
  <si>
    <t>INV-20260284</t>
  </si>
  <si>
    <t>INV-20260285</t>
  </si>
  <si>
    <t>INV-20260286</t>
  </si>
  <si>
    <t>INV-20260287</t>
  </si>
  <si>
    <t>INV-20260288</t>
  </si>
  <si>
    <t>INV-20260289</t>
  </si>
  <si>
    <t>INV-20260290</t>
  </si>
  <si>
    <t>INV-20260291</t>
  </si>
  <si>
    <t>INV-20260292</t>
  </si>
  <si>
    <t>INV-20260293</t>
  </si>
  <si>
    <t>INV-20260294</t>
  </si>
  <si>
    <t>INV-20260295</t>
  </si>
  <si>
    <t>INV-20260296</t>
  </si>
  <si>
    <t>INV-20260297</t>
  </si>
  <si>
    <t>INV-20260298</t>
  </si>
  <si>
    <t>INV-20260299</t>
  </si>
  <si>
    <t>INV-20260300</t>
  </si>
  <si>
    <t>INV-20260301</t>
  </si>
  <si>
    <t>INV-20260302</t>
  </si>
  <si>
    <t>INV-20260303</t>
  </si>
  <si>
    <t>INV-20260304</t>
  </si>
  <si>
    <t>INV-20260305</t>
  </si>
  <si>
    <t>INV-20260306</t>
  </si>
  <si>
    <t>INV-20260307</t>
  </si>
  <si>
    <t>INV-20260308</t>
  </si>
  <si>
    <t>INV-20260309</t>
  </si>
  <si>
    <t>INV-20260310</t>
  </si>
  <si>
    <t>INV-20260311</t>
  </si>
  <si>
    <t>INV-20260312</t>
  </si>
  <si>
    <t>INV-20260313</t>
  </si>
  <si>
    <t>INV-20260314</t>
  </si>
  <si>
    <t>INV-20260315</t>
  </si>
  <si>
    <t>INV-20260316</t>
  </si>
  <si>
    <t>INV-20260317</t>
  </si>
  <si>
    <t>INV-20260318</t>
  </si>
  <si>
    <t>INV-20260319</t>
  </si>
  <si>
    <t>INV-20260320</t>
  </si>
  <si>
    <t>INV-20260321</t>
  </si>
  <si>
    <t>INV-20260322</t>
  </si>
  <si>
    <t>INV-20260323</t>
  </si>
  <si>
    <t>INV-20260324</t>
  </si>
  <si>
    <t>INV-20260325</t>
  </si>
  <si>
    <t>INV-20260326</t>
  </si>
  <si>
    <t>INV-20260327</t>
  </si>
  <si>
    <t>INV-20260328</t>
  </si>
  <si>
    <t>INV-20260329</t>
  </si>
  <si>
    <t>INV-20260330</t>
  </si>
  <si>
    <t>INV-20260331</t>
  </si>
  <si>
    <t>INV-20260332</t>
  </si>
  <si>
    <t>INV-20260333</t>
  </si>
  <si>
    <t>INV-20260334</t>
  </si>
  <si>
    <t>INV-20260335</t>
  </si>
  <si>
    <t>INV-20260336</t>
  </si>
  <si>
    <t>INV-20260337</t>
  </si>
  <si>
    <t>INV-20260338</t>
  </si>
  <si>
    <t>INV-20260339</t>
  </si>
  <si>
    <t>INV-20260340</t>
  </si>
  <si>
    <t>INV-20260341</t>
  </si>
  <si>
    <t>INV-20260342</t>
  </si>
  <si>
    <t>INV-20260343</t>
  </si>
  <si>
    <t>INV-20260344</t>
  </si>
  <si>
    <t>INV-20260345</t>
  </si>
  <si>
    <t>INV-20260346</t>
  </si>
  <si>
    <t>INV-20260347</t>
  </si>
  <si>
    <t>INV-20260348</t>
  </si>
  <si>
    <t>INV-20260349</t>
  </si>
  <si>
    <t>INV-20260350</t>
  </si>
  <si>
    <t>INV-20260351</t>
  </si>
  <si>
    <t>INV-20260352</t>
  </si>
  <si>
    <t>INV-20260353</t>
  </si>
  <si>
    <t>INV-20260354</t>
  </si>
  <si>
    <t>INV-20260355</t>
  </si>
  <si>
    <t>INV-20260356</t>
  </si>
  <si>
    <t>INV-20260357</t>
  </si>
  <si>
    <t>INV-20260358</t>
  </si>
  <si>
    <t>INV-20260359</t>
  </si>
  <si>
    <t>INV-20260360</t>
  </si>
  <si>
    <t>Column Name</t>
  </si>
  <si>
    <t>Type</t>
  </si>
  <si>
    <t>Description</t>
  </si>
  <si>
    <t>Example Values</t>
  </si>
  <si>
    <t>Identifier</t>
  </si>
  <si>
    <t>Unique invoice record ID. Do not use as a predictive feature.</t>
  </si>
  <si>
    <t>Categorical</t>
  </si>
  <si>
    <t>Customer size category used by the company.</t>
  </si>
  <si>
    <t>Small Business, Mid-Market, Enterprise</t>
  </si>
  <si>
    <t>Business industry of the client.</t>
  </si>
  <si>
    <t>Retail, Construction, Technology</t>
  </si>
  <si>
    <t>Canadian region of the client.</t>
  </si>
  <si>
    <t>Ontario, Quebec, Alberta</t>
  </si>
  <si>
    <t>Month when the invoice was issued.</t>
  </si>
  <si>
    <t>Jan, Feb, Mar</t>
  </si>
  <si>
    <t>Numerical</t>
  </si>
  <si>
    <t>Total invoice value in Canadian dollars.</t>
  </si>
  <si>
    <t>12500.50</t>
  </si>
  <si>
    <t>Number of days allowed before payment is due.</t>
  </si>
  <si>
    <t>15, 30, 45, 60</t>
  </si>
  <si>
    <t>How long the customer has been active with the company.</t>
  </si>
  <si>
    <t>24</t>
  </si>
  <si>
    <t>Number of late payments in the customer's recent history.</t>
  </si>
  <si>
    <t>0, 1, 2</t>
  </si>
  <si>
    <t>Customer's historical average number of days to pay invoices.</t>
  </si>
  <si>
    <t>36</t>
  </si>
  <si>
    <t>Days since the customer last placed an order.</t>
  </si>
  <si>
    <t>42</t>
  </si>
  <si>
    <t>Whether the invoice or order has a recorded dispute.</t>
  </si>
  <si>
    <t>Yes, No</t>
  </si>
  <si>
    <t>Number of payment reminders sent before the analysis date.</t>
  </si>
  <si>
    <t>Whether the customer regularly uses the online payment portal.</t>
  </si>
  <si>
    <t>Whether a small discount was offered for early payment.</t>
  </si>
  <si>
    <t>Internal business credit score category.</t>
  </si>
  <si>
    <t>Low, Medium, High</t>
  </si>
  <si>
    <t>Target</t>
  </si>
  <si>
    <t>Target variable. Yes means the invoice is expected to be paid late.</t>
  </si>
  <si>
    <t>PayFlow Business Solutions Dataset</t>
  </si>
  <si>
    <t>Decision Tree Assignment Support</t>
  </si>
  <si>
    <t>Business theme</t>
  </si>
  <si>
    <t>B2B finance and accounts receivable management</t>
  </si>
  <si>
    <t>Company</t>
  </si>
  <si>
    <t>PayFlow Business Solutions</t>
  </si>
  <si>
    <t>Prediction goal</t>
  </si>
  <si>
    <t>Predict whether an invoice will be paid late.</t>
  </si>
  <si>
    <t>Target variable</t>
  </si>
  <si>
    <t>Suggested model</t>
  </si>
  <si>
    <t>Decision Tree Classification</t>
  </si>
  <si>
    <t>Important reminder</t>
  </si>
  <si>
    <t>Students should not use Invoice_ID as an input feature.</t>
  </si>
  <si>
    <t>Business interpretation example</t>
  </si>
  <si>
    <t>False positive: the model predicts late payment, but the invoice is paid on time. False negative: the model predicts on-time payment, but the invoice is paid late.</t>
  </si>
  <si>
    <t>Responsible AI reminder</t>
  </si>
  <si>
    <t>Do not use the model as the only decision tool. Human review is still needed, especially for important customers or disputed invoices.</t>
  </si>
  <si>
    <t>PayFlow Invoice Payment Dataset Summary</t>
  </si>
  <si>
    <t>Metric</t>
  </si>
  <si>
    <t>Value</t>
  </si>
  <si>
    <t>Total records</t>
  </si>
  <si>
    <t>Number of features</t>
  </si>
  <si>
    <t>Late payment = Yes</t>
  </si>
  <si>
    <t>Late payment = No</t>
  </si>
  <si>
    <t>Customer Segment</t>
  </si>
  <si>
    <t>Records</t>
  </si>
  <si>
    <t>Credit Score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</si>
</sst>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Records by Customer Segment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invertIfNegative val="1"/>
          <c:cat>
            <c:strRef>
              <c:f>Dataset_Summary!$A$11:$A$13</c:f>
              <c:strCache>
                <c:ptCount val="3"/>
                <c:pt idx="0">
                  <c:v>Small Business</c:v>
                </c:pt>
                <c:pt idx="1">
                  <c:v>Mid-Market</c:v>
                </c:pt>
                <c:pt idx="2">
                  <c:v>Enterprise</c:v>
                </c:pt>
              </c:strCache>
            </c:strRef>
          </c:cat>
          <c:val>
            <c:numRef>
              <c:f>Dataset_Summary!$B$11:$B$13</c:f>
              <c:numCache>
                <c:formatCode>General</c:formatCode>
                <c:ptCount val="3"/>
                <c:pt idx="0">
                  <c:v>156</c:v>
                </c:pt>
                <c:pt idx="1">
                  <c:v>137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8-EF41-AE6C-C63E64054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PaymentTable" displayName="InvoicePaymentTable" ref="A1:Q361">
  <tableColumns count="17">
    <tableColumn id="1" xr3:uid="{00000000-0010-0000-0000-000001000000}" name="Invoice_ID"/>
    <tableColumn id="2" xr3:uid="{00000000-0010-0000-0000-000002000000}" name="Customer_Segment"/>
    <tableColumn id="3" xr3:uid="{00000000-0010-0000-0000-000003000000}" name="Industry"/>
    <tableColumn id="4" xr3:uid="{00000000-0010-0000-0000-000004000000}" name="Region"/>
    <tableColumn id="5" xr3:uid="{00000000-0010-0000-0000-000005000000}" name="Invoice_Month"/>
    <tableColumn id="6" xr3:uid="{00000000-0010-0000-0000-000006000000}" name="Invoice_Amount"/>
    <tableColumn id="7" xr3:uid="{00000000-0010-0000-0000-000007000000}" name="Payment_Terms_Days"/>
    <tableColumn id="8" xr3:uid="{00000000-0010-0000-0000-000008000000}" name="Customer_Tenure_Months"/>
    <tableColumn id="9" xr3:uid="{00000000-0010-0000-0000-000009000000}" name="Prior_Late_Payments"/>
    <tableColumn id="10" xr3:uid="{00000000-0010-0000-0000-00000A000000}" name="Avg_Days_To_Pay"/>
    <tableColumn id="11" xr3:uid="{00000000-0010-0000-0000-00000B000000}" name="Days_Since_Last_Order"/>
    <tableColumn id="12" xr3:uid="{00000000-0010-0000-0000-00000C000000}" name="Dispute_Flag"/>
    <tableColumn id="13" xr3:uid="{00000000-0010-0000-0000-00000D000000}" name="Reminder_Count"/>
    <tableColumn id="14" xr3:uid="{00000000-0010-0000-0000-00000E000000}" name="Online_Portal_Use"/>
    <tableColumn id="15" xr3:uid="{00000000-0010-0000-0000-00000F000000}" name="Early_Payment_Discount_Offered"/>
    <tableColumn id="16" xr3:uid="{00000000-0010-0000-0000-000010000000}" name="Credit_Score_Band"/>
    <tableColumn id="17" xr3:uid="{00000000-0010-0000-0000-000011000000}" name="Late_Pay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D18">
  <tableColumns count="4">
    <tableColumn id="1" xr3:uid="{00000000-0010-0000-0100-000001000000}" name="Column Name"/>
    <tableColumn id="2" xr3:uid="{00000000-0010-0000-0100-000002000000}" name="Type"/>
    <tableColumn id="3" xr3:uid="{00000000-0010-0000-0100-000003000000}" name="Description"/>
    <tableColumn id="4" xr3:uid="{00000000-0010-0000-0100-000004000000}" name="Example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1"/>
  <sheetViews>
    <sheetView tabSelected="1" topLeftCell="G1" workbookViewId="0"/>
  </sheetViews>
  <sheetFormatPr baseColWidth="10" defaultColWidth="8.83203125" defaultRowHeight="14"/>
  <cols>
    <col min="1" max="1" width="16" customWidth="1"/>
    <col min="2" max="2" width="18" customWidth="1"/>
    <col min="3" max="3" width="22" customWidth="1"/>
    <col min="4" max="4" width="20" customWidth="1"/>
    <col min="5" max="5" width="14" customWidth="1"/>
    <col min="6" max="6" width="16" customWidth="1"/>
    <col min="7" max="7" width="18" customWidth="1"/>
    <col min="8" max="8" width="22" customWidth="1"/>
    <col min="9" max="9" width="20" customWidth="1"/>
    <col min="10" max="10" width="18" customWidth="1"/>
    <col min="11" max="11" width="22" customWidth="1"/>
    <col min="12" max="12" width="14" customWidth="1"/>
    <col min="13" max="13" width="16" customWidth="1"/>
    <col min="14" max="14" width="18" customWidth="1"/>
    <col min="15" max="15" width="28" customWidth="1"/>
    <col min="16" max="16" width="18" customWidth="1"/>
    <col min="17" max="17" width="14" customWidth="1"/>
  </cols>
  <sheetData>
    <row r="1" spans="1:17" ht="4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5851.94</v>
      </c>
      <c r="G2" s="3">
        <v>30</v>
      </c>
      <c r="H2" s="3">
        <v>28</v>
      </c>
      <c r="I2" s="3">
        <v>1</v>
      </c>
      <c r="J2" s="3">
        <v>42</v>
      </c>
      <c r="K2" s="3">
        <v>156</v>
      </c>
      <c r="L2" t="s">
        <v>22</v>
      </c>
      <c r="M2" s="3">
        <v>3</v>
      </c>
      <c r="N2" t="s">
        <v>23</v>
      </c>
      <c r="O2" t="s">
        <v>22</v>
      </c>
      <c r="P2" t="s">
        <v>24</v>
      </c>
      <c r="Q2" t="s">
        <v>23</v>
      </c>
    </row>
    <row r="3" spans="1:17">
      <c r="A3" t="s">
        <v>25</v>
      </c>
      <c r="B3" t="s">
        <v>18</v>
      </c>
      <c r="C3" t="s">
        <v>26</v>
      </c>
      <c r="D3" t="s">
        <v>27</v>
      </c>
      <c r="E3" t="s">
        <v>21</v>
      </c>
      <c r="F3" s="2">
        <v>3224.65</v>
      </c>
      <c r="G3" s="3">
        <v>30</v>
      </c>
      <c r="H3" s="3">
        <v>34</v>
      </c>
      <c r="I3" s="3">
        <v>2</v>
      </c>
      <c r="J3" s="3">
        <v>47</v>
      </c>
      <c r="K3" s="3">
        <v>153</v>
      </c>
      <c r="L3" t="s">
        <v>23</v>
      </c>
      <c r="M3" s="3">
        <v>2</v>
      </c>
      <c r="N3" t="s">
        <v>23</v>
      </c>
      <c r="O3" t="s">
        <v>22</v>
      </c>
      <c r="P3" t="s">
        <v>28</v>
      </c>
      <c r="Q3" t="s">
        <v>22</v>
      </c>
    </row>
    <row r="4" spans="1:17">
      <c r="A4" t="s">
        <v>29</v>
      </c>
      <c r="B4" t="s">
        <v>30</v>
      </c>
      <c r="C4" t="s">
        <v>31</v>
      </c>
      <c r="D4" t="s">
        <v>20</v>
      </c>
      <c r="E4" t="s">
        <v>32</v>
      </c>
      <c r="F4" s="2">
        <v>17946.669999999998</v>
      </c>
      <c r="G4" s="3">
        <v>30</v>
      </c>
      <c r="H4" s="3">
        <v>12</v>
      </c>
      <c r="I4" s="3">
        <v>2</v>
      </c>
      <c r="J4" s="3">
        <v>38</v>
      </c>
      <c r="K4" s="3">
        <v>19</v>
      </c>
      <c r="L4" t="s">
        <v>22</v>
      </c>
      <c r="M4" s="3">
        <v>2</v>
      </c>
      <c r="N4" t="s">
        <v>22</v>
      </c>
      <c r="O4" t="s">
        <v>22</v>
      </c>
      <c r="P4" t="s">
        <v>28</v>
      </c>
      <c r="Q4" t="s">
        <v>23</v>
      </c>
    </row>
    <row r="5" spans="1:17">
      <c r="A5" t="s">
        <v>33</v>
      </c>
      <c r="B5" t="s">
        <v>18</v>
      </c>
      <c r="C5" t="s">
        <v>31</v>
      </c>
      <c r="D5" t="s">
        <v>27</v>
      </c>
      <c r="E5" t="s">
        <v>34</v>
      </c>
      <c r="F5" s="2">
        <v>5131.03</v>
      </c>
      <c r="G5" s="3">
        <v>15</v>
      </c>
      <c r="H5" s="3">
        <v>25</v>
      </c>
      <c r="I5" s="3">
        <v>5</v>
      </c>
      <c r="J5" s="3">
        <v>49</v>
      </c>
      <c r="K5" s="3">
        <v>107</v>
      </c>
      <c r="L5" t="s">
        <v>22</v>
      </c>
      <c r="M5" s="3">
        <v>4</v>
      </c>
      <c r="N5" t="s">
        <v>23</v>
      </c>
      <c r="O5" t="s">
        <v>22</v>
      </c>
      <c r="P5" t="s">
        <v>35</v>
      </c>
      <c r="Q5" t="s">
        <v>23</v>
      </c>
    </row>
    <row r="6" spans="1:17">
      <c r="A6" t="s">
        <v>36</v>
      </c>
      <c r="B6" t="s">
        <v>30</v>
      </c>
      <c r="C6" t="s">
        <v>37</v>
      </c>
      <c r="D6" t="s">
        <v>38</v>
      </c>
      <c r="E6" t="s">
        <v>21</v>
      </c>
      <c r="F6" s="2">
        <v>17553.63</v>
      </c>
      <c r="G6" s="3">
        <v>60</v>
      </c>
      <c r="H6" s="3">
        <v>14</v>
      </c>
      <c r="I6" s="3">
        <v>0</v>
      </c>
      <c r="J6" s="3">
        <v>61</v>
      </c>
      <c r="K6" s="3">
        <v>46</v>
      </c>
      <c r="L6" t="s">
        <v>22</v>
      </c>
      <c r="M6" s="3">
        <v>2</v>
      </c>
      <c r="N6" t="s">
        <v>23</v>
      </c>
      <c r="O6" t="s">
        <v>22</v>
      </c>
      <c r="P6" t="s">
        <v>24</v>
      </c>
      <c r="Q6" t="s">
        <v>23</v>
      </c>
    </row>
    <row r="7" spans="1:17">
      <c r="A7" t="s">
        <v>39</v>
      </c>
      <c r="B7" t="s">
        <v>18</v>
      </c>
      <c r="C7" t="s">
        <v>19</v>
      </c>
      <c r="D7" t="s">
        <v>20</v>
      </c>
      <c r="E7" t="s">
        <v>40</v>
      </c>
      <c r="F7" s="2">
        <v>7914.26</v>
      </c>
      <c r="G7" s="3">
        <v>15</v>
      </c>
      <c r="H7" s="3">
        <v>46</v>
      </c>
      <c r="I7" s="3">
        <v>6</v>
      </c>
      <c r="J7" s="3">
        <v>24</v>
      </c>
      <c r="K7" s="3">
        <v>157</v>
      </c>
      <c r="L7" t="s">
        <v>22</v>
      </c>
      <c r="M7" s="3">
        <v>6</v>
      </c>
      <c r="N7" t="s">
        <v>23</v>
      </c>
      <c r="O7" t="s">
        <v>22</v>
      </c>
      <c r="P7" t="s">
        <v>24</v>
      </c>
      <c r="Q7" t="s">
        <v>23</v>
      </c>
    </row>
    <row r="8" spans="1:17">
      <c r="A8" t="s">
        <v>41</v>
      </c>
      <c r="B8" t="s">
        <v>18</v>
      </c>
      <c r="C8" t="s">
        <v>26</v>
      </c>
      <c r="D8" t="s">
        <v>42</v>
      </c>
      <c r="E8" t="s">
        <v>43</v>
      </c>
      <c r="F8" s="2">
        <v>6728.54</v>
      </c>
      <c r="G8" s="3">
        <v>30</v>
      </c>
      <c r="H8" s="3">
        <v>25</v>
      </c>
      <c r="I8" s="3">
        <v>1</v>
      </c>
      <c r="J8" s="3">
        <v>40</v>
      </c>
      <c r="K8" s="3">
        <v>46</v>
      </c>
      <c r="L8" t="s">
        <v>22</v>
      </c>
      <c r="M8" s="3">
        <v>0</v>
      </c>
      <c r="N8" t="s">
        <v>22</v>
      </c>
      <c r="O8" t="s">
        <v>22</v>
      </c>
      <c r="P8" t="s">
        <v>24</v>
      </c>
      <c r="Q8" t="s">
        <v>22</v>
      </c>
    </row>
    <row r="9" spans="1:17">
      <c r="A9" t="s">
        <v>44</v>
      </c>
      <c r="B9" t="s">
        <v>30</v>
      </c>
      <c r="C9" t="s">
        <v>37</v>
      </c>
      <c r="D9" t="s">
        <v>20</v>
      </c>
      <c r="E9" t="s">
        <v>40</v>
      </c>
      <c r="F9" s="2">
        <v>18756.310000000001</v>
      </c>
      <c r="G9" s="3">
        <v>15</v>
      </c>
      <c r="H9" s="3">
        <v>17</v>
      </c>
      <c r="I9" s="3">
        <v>1</v>
      </c>
      <c r="J9" s="3">
        <v>16</v>
      </c>
      <c r="K9" s="3">
        <v>122</v>
      </c>
      <c r="L9" t="s">
        <v>23</v>
      </c>
      <c r="M9" s="3">
        <v>1</v>
      </c>
      <c r="N9" t="s">
        <v>23</v>
      </c>
      <c r="O9" t="s">
        <v>23</v>
      </c>
      <c r="P9" t="s">
        <v>24</v>
      </c>
      <c r="Q9" t="s">
        <v>23</v>
      </c>
    </row>
    <row r="10" spans="1:17">
      <c r="A10" t="s">
        <v>45</v>
      </c>
      <c r="B10" t="s">
        <v>46</v>
      </c>
      <c r="C10" t="s">
        <v>19</v>
      </c>
      <c r="D10" t="s">
        <v>47</v>
      </c>
      <c r="E10" t="s">
        <v>48</v>
      </c>
      <c r="F10" s="2">
        <v>85361.65</v>
      </c>
      <c r="G10" s="3">
        <v>30</v>
      </c>
      <c r="H10" s="3">
        <v>48</v>
      </c>
      <c r="I10" s="3">
        <v>3</v>
      </c>
      <c r="J10" s="3">
        <v>37</v>
      </c>
      <c r="K10" s="3">
        <v>129</v>
      </c>
      <c r="L10" t="s">
        <v>23</v>
      </c>
      <c r="M10" s="3">
        <v>4</v>
      </c>
      <c r="N10" t="s">
        <v>23</v>
      </c>
      <c r="O10" t="s">
        <v>22</v>
      </c>
      <c r="P10" t="s">
        <v>28</v>
      </c>
      <c r="Q10" t="s">
        <v>23</v>
      </c>
    </row>
    <row r="11" spans="1:17">
      <c r="A11" t="s">
        <v>49</v>
      </c>
      <c r="B11" t="s">
        <v>18</v>
      </c>
      <c r="C11" t="s">
        <v>19</v>
      </c>
      <c r="D11" t="s">
        <v>38</v>
      </c>
      <c r="E11" t="s">
        <v>50</v>
      </c>
      <c r="F11" s="2">
        <v>3288.53</v>
      </c>
      <c r="G11" s="3">
        <v>15</v>
      </c>
      <c r="H11" s="3">
        <v>43</v>
      </c>
      <c r="I11" s="3">
        <v>0</v>
      </c>
      <c r="J11" s="3">
        <v>35</v>
      </c>
      <c r="K11" s="3">
        <v>167</v>
      </c>
      <c r="L11" t="s">
        <v>22</v>
      </c>
      <c r="M11" s="3">
        <v>0</v>
      </c>
      <c r="N11" t="s">
        <v>23</v>
      </c>
      <c r="O11" t="s">
        <v>22</v>
      </c>
      <c r="P11" t="s">
        <v>24</v>
      </c>
      <c r="Q11" t="s">
        <v>23</v>
      </c>
    </row>
    <row r="12" spans="1:17">
      <c r="A12" t="s">
        <v>51</v>
      </c>
      <c r="B12" t="s">
        <v>18</v>
      </c>
      <c r="C12" t="s">
        <v>52</v>
      </c>
      <c r="D12" t="s">
        <v>27</v>
      </c>
      <c r="E12" t="s">
        <v>53</v>
      </c>
      <c r="F12" s="2">
        <v>5798.94</v>
      </c>
      <c r="G12" s="3">
        <v>30</v>
      </c>
      <c r="H12" s="3">
        <v>26</v>
      </c>
      <c r="I12" s="3">
        <v>2</v>
      </c>
      <c r="J12" s="3">
        <v>36</v>
      </c>
      <c r="K12" s="3">
        <v>124</v>
      </c>
      <c r="L12" t="s">
        <v>22</v>
      </c>
      <c r="M12" s="3">
        <v>2</v>
      </c>
      <c r="N12" t="s">
        <v>22</v>
      </c>
      <c r="O12" t="s">
        <v>22</v>
      </c>
      <c r="P12" t="s">
        <v>28</v>
      </c>
      <c r="Q12" t="s">
        <v>22</v>
      </c>
    </row>
    <row r="13" spans="1:17">
      <c r="A13" t="s">
        <v>54</v>
      </c>
      <c r="B13" t="s">
        <v>46</v>
      </c>
      <c r="C13" t="s">
        <v>55</v>
      </c>
      <c r="D13" t="s">
        <v>38</v>
      </c>
      <c r="E13" t="s">
        <v>21</v>
      </c>
      <c r="F13" s="2">
        <v>85426.66</v>
      </c>
      <c r="G13" s="3">
        <v>30</v>
      </c>
      <c r="H13" s="3">
        <v>29</v>
      </c>
      <c r="I13" s="3">
        <v>1</v>
      </c>
      <c r="J13" s="3">
        <v>38</v>
      </c>
      <c r="K13" s="3">
        <v>38</v>
      </c>
      <c r="L13" t="s">
        <v>22</v>
      </c>
      <c r="M13" s="3">
        <v>2</v>
      </c>
      <c r="N13" t="s">
        <v>22</v>
      </c>
      <c r="O13" t="s">
        <v>23</v>
      </c>
      <c r="P13" t="s">
        <v>24</v>
      </c>
      <c r="Q13" t="s">
        <v>22</v>
      </c>
    </row>
    <row r="14" spans="1:17">
      <c r="A14" t="s">
        <v>56</v>
      </c>
      <c r="B14" t="s">
        <v>30</v>
      </c>
      <c r="C14" t="s">
        <v>37</v>
      </c>
      <c r="D14" t="s">
        <v>42</v>
      </c>
      <c r="E14" t="s">
        <v>40</v>
      </c>
      <c r="F14" s="2">
        <v>27763.08</v>
      </c>
      <c r="G14" s="3">
        <v>15</v>
      </c>
      <c r="H14" s="3">
        <v>68</v>
      </c>
      <c r="I14" s="3">
        <v>1</v>
      </c>
      <c r="J14" s="3">
        <v>30</v>
      </c>
      <c r="K14" s="3">
        <v>23</v>
      </c>
      <c r="L14" t="s">
        <v>22</v>
      </c>
      <c r="M14" s="3">
        <v>1</v>
      </c>
      <c r="N14" t="s">
        <v>23</v>
      </c>
      <c r="O14" t="s">
        <v>22</v>
      </c>
      <c r="P14" t="s">
        <v>24</v>
      </c>
      <c r="Q14" t="s">
        <v>22</v>
      </c>
    </row>
    <row r="15" spans="1:17">
      <c r="A15" t="s">
        <v>57</v>
      </c>
      <c r="B15" t="s">
        <v>30</v>
      </c>
      <c r="C15" t="s">
        <v>37</v>
      </c>
      <c r="D15" t="s">
        <v>20</v>
      </c>
      <c r="E15" t="s">
        <v>58</v>
      </c>
      <c r="F15" s="2">
        <v>24160.720000000001</v>
      </c>
      <c r="G15" s="3">
        <v>30</v>
      </c>
      <c r="H15" s="3">
        <v>67</v>
      </c>
      <c r="I15" s="3">
        <v>0</v>
      </c>
      <c r="J15" s="3">
        <v>25</v>
      </c>
      <c r="K15" s="3">
        <v>154</v>
      </c>
      <c r="L15" t="s">
        <v>22</v>
      </c>
      <c r="M15" s="3">
        <v>0</v>
      </c>
      <c r="N15" t="s">
        <v>22</v>
      </c>
      <c r="O15" t="s">
        <v>22</v>
      </c>
      <c r="P15" t="s">
        <v>24</v>
      </c>
      <c r="Q15" t="s">
        <v>22</v>
      </c>
    </row>
    <row r="16" spans="1:17">
      <c r="A16" t="s">
        <v>59</v>
      </c>
      <c r="B16" t="s">
        <v>18</v>
      </c>
      <c r="C16" t="s">
        <v>31</v>
      </c>
      <c r="D16" t="s">
        <v>38</v>
      </c>
      <c r="E16" t="s">
        <v>60</v>
      </c>
      <c r="F16" s="2">
        <v>1629.87</v>
      </c>
      <c r="G16" s="3">
        <v>45</v>
      </c>
      <c r="H16" s="3">
        <v>9</v>
      </c>
      <c r="I16" s="3">
        <v>0</v>
      </c>
      <c r="J16" s="3">
        <v>51</v>
      </c>
      <c r="K16" s="3">
        <v>165</v>
      </c>
      <c r="L16" t="s">
        <v>22</v>
      </c>
      <c r="M16" s="3">
        <v>1</v>
      </c>
      <c r="N16" t="s">
        <v>22</v>
      </c>
      <c r="O16" t="s">
        <v>22</v>
      </c>
      <c r="P16" t="s">
        <v>24</v>
      </c>
      <c r="Q16" t="s">
        <v>23</v>
      </c>
    </row>
    <row r="17" spans="1:17">
      <c r="A17" t="s">
        <v>61</v>
      </c>
      <c r="B17" t="s">
        <v>30</v>
      </c>
      <c r="C17" t="s">
        <v>55</v>
      </c>
      <c r="D17" t="s">
        <v>27</v>
      </c>
      <c r="E17" t="s">
        <v>40</v>
      </c>
      <c r="F17" s="2">
        <v>29921.33</v>
      </c>
      <c r="G17" s="3">
        <v>30</v>
      </c>
      <c r="H17" s="3">
        <v>26</v>
      </c>
      <c r="I17" s="3">
        <v>0</v>
      </c>
      <c r="J17" s="3">
        <v>43</v>
      </c>
      <c r="K17" s="3">
        <v>88</v>
      </c>
      <c r="L17" t="s">
        <v>22</v>
      </c>
      <c r="M17" s="3">
        <v>1</v>
      </c>
      <c r="N17" t="s">
        <v>22</v>
      </c>
      <c r="O17" t="s">
        <v>23</v>
      </c>
      <c r="P17" t="s">
        <v>24</v>
      </c>
      <c r="Q17" t="s">
        <v>23</v>
      </c>
    </row>
    <row r="18" spans="1:17">
      <c r="A18" t="s">
        <v>62</v>
      </c>
      <c r="B18" t="s">
        <v>30</v>
      </c>
      <c r="C18" t="s">
        <v>55</v>
      </c>
      <c r="D18" t="s">
        <v>38</v>
      </c>
      <c r="E18" t="s">
        <v>32</v>
      </c>
      <c r="F18" s="2">
        <v>23727.279999999999</v>
      </c>
      <c r="G18" s="3">
        <v>30</v>
      </c>
      <c r="H18" s="3">
        <v>12</v>
      </c>
      <c r="I18" s="3">
        <v>1</v>
      </c>
      <c r="J18" s="3">
        <v>35</v>
      </c>
      <c r="K18" s="3">
        <v>129</v>
      </c>
      <c r="L18" t="s">
        <v>22</v>
      </c>
      <c r="M18" s="3">
        <v>1</v>
      </c>
      <c r="N18" t="s">
        <v>23</v>
      </c>
      <c r="O18" t="s">
        <v>22</v>
      </c>
      <c r="P18" t="s">
        <v>28</v>
      </c>
      <c r="Q18" t="s">
        <v>22</v>
      </c>
    </row>
    <row r="19" spans="1:17">
      <c r="A19" t="s">
        <v>63</v>
      </c>
      <c r="B19" t="s">
        <v>46</v>
      </c>
      <c r="C19" t="s">
        <v>52</v>
      </c>
      <c r="D19" t="s">
        <v>20</v>
      </c>
      <c r="E19" t="s">
        <v>58</v>
      </c>
      <c r="F19" s="2">
        <v>88154.85</v>
      </c>
      <c r="G19" s="3">
        <v>30</v>
      </c>
      <c r="H19" s="3">
        <v>61</v>
      </c>
      <c r="I19" s="3">
        <v>2</v>
      </c>
      <c r="J19" s="3">
        <v>61</v>
      </c>
      <c r="K19" s="3">
        <v>35</v>
      </c>
      <c r="L19" t="s">
        <v>22</v>
      </c>
      <c r="M19" s="3">
        <v>2</v>
      </c>
      <c r="N19" t="s">
        <v>23</v>
      </c>
      <c r="O19" t="s">
        <v>22</v>
      </c>
      <c r="P19" t="s">
        <v>24</v>
      </c>
      <c r="Q19" t="s">
        <v>23</v>
      </c>
    </row>
    <row r="20" spans="1:17">
      <c r="A20" t="s">
        <v>64</v>
      </c>
      <c r="B20" t="s">
        <v>30</v>
      </c>
      <c r="C20" t="s">
        <v>31</v>
      </c>
      <c r="D20" t="s">
        <v>20</v>
      </c>
      <c r="E20" t="s">
        <v>34</v>
      </c>
      <c r="F20" s="2">
        <v>10855.52</v>
      </c>
      <c r="G20" s="3">
        <v>30</v>
      </c>
      <c r="H20" s="3">
        <v>34</v>
      </c>
      <c r="I20" s="3">
        <v>1</v>
      </c>
      <c r="J20" s="3">
        <v>32</v>
      </c>
      <c r="K20" s="3">
        <v>118</v>
      </c>
      <c r="L20" t="s">
        <v>22</v>
      </c>
      <c r="M20" s="3">
        <v>2</v>
      </c>
      <c r="N20" t="s">
        <v>22</v>
      </c>
      <c r="O20" t="s">
        <v>23</v>
      </c>
      <c r="P20" t="s">
        <v>28</v>
      </c>
      <c r="Q20" t="s">
        <v>22</v>
      </c>
    </row>
    <row r="21" spans="1:17">
      <c r="A21" t="s">
        <v>65</v>
      </c>
      <c r="B21" t="s">
        <v>18</v>
      </c>
      <c r="C21" t="s">
        <v>52</v>
      </c>
      <c r="D21" t="s">
        <v>66</v>
      </c>
      <c r="E21" t="s">
        <v>58</v>
      </c>
      <c r="F21" s="2">
        <v>5125.18</v>
      </c>
      <c r="G21" s="3">
        <v>15</v>
      </c>
      <c r="H21" s="3">
        <v>23</v>
      </c>
      <c r="I21" s="3">
        <v>2</v>
      </c>
      <c r="J21" s="3">
        <v>25</v>
      </c>
      <c r="K21" s="3">
        <v>165</v>
      </c>
      <c r="L21" t="s">
        <v>22</v>
      </c>
      <c r="M21" s="3">
        <v>1</v>
      </c>
      <c r="N21" t="s">
        <v>23</v>
      </c>
      <c r="O21" t="s">
        <v>23</v>
      </c>
      <c r="P21" t="s">
        <v>35</v>
      </c>
      <c r="Q21" t="s">
        <v>23</v>
      </c>
    </row>
    <row r="22" spans="1:17">
      <c r="A22" t="s">
        <v>67</v>
      </c>
      <c r="B22" t="s">
        <v>30</v>
      </c>
      <c r="C22" t="s">
        <v>19</v>
      </c>
      <c r="D22" t="s">
        <v>42</v>
      </c>
      <c r="E22" t="s">
        <v>34</v>
      </c>
      <c r="F22" s="2">
        <v>25191.439999999999</v>
      </c>
      <c r="G22" s="3">
        <v>30</v>
      </c>
      <c r="H22" s="3">
        <v>49</v>
      </c>
      <c r="I22" s="3">
        <v>0</v>
      </c>
      <c r="J22" s="3">
        <v>35</v>
      </c>
      <c r="K22" s="3">
        <v>89</v>
      </c>
      <c r="L22" t="s">
        <v>22</v>
      </c>
      <c r="M22" s="3">
        <v>0</v>
      </c>
      <c r="N22" t="s">
        <v>22</v>
      </c>
      <c r="O22" t="s">
        <v>22</v>
      </c>
      <c r="P22" t="s">
        <v>28</v>
      </c>
      <c r="Q22" t="s">
        <v>23</v>
      </c>
    </row>
    <row r="23" spans="1:17">
      <c r="A23" t="s">
        <v>68</v>
      </c>
      <c r="B23" t="s">
        <v>46</v>
      </c>
      <c r="C23" t="s">
        <v>26</v>
      </c>
      <c r="D23" t="s">
        <v>20</v>
      </c>
      <c r="E23" t="s">
        <v>50</v>
      </c>
      <c r="F23" s="2">
        <v>64771.4</v>
      </c>
      <c r="G23" s="3">
        <v>45</v>
      </c>
      <c r="H23" s="3">
        <v>97</v>
      </c>
      <c r="I23" s="3">
        <v>2</v>
      </c>
      <c r="J23" s="3">
        <v>50</v>
      </c>
      <c r="K23" s="3">
        <v>175</v>
      </c>
      <c r="L23" t="s">
        <v>22</v>
      </c>
      <c r="M23" s="3">
        <v>2</v>
      </c>
      <c r="N23" t="s">
        <v>22</v>
      </c>
      <c r="O23" t="s">
        <v>22</v>
      </c>
      <c r="P23" t="s">
        <v>24</v>
      </c>
      <c r="Q23" t="s">
        <v>22</v>
      </c>
    </row>
    <row r="24" spans="1:17">
      <c r="A24" t="s">
        <v>69</v>
      </c>
      <c r="B24" t="s">
        <v>30</v>
      </c>
      <c r="C24" t="s">
        <v>37</v>
      </c>
      <c r="D24" t="s">
        <v>47</v>
      </c>
      <c r="E24" t="s">
        <v>40</v>
      </c>
      <c r="F24" s="2">
        <v>29314.55</v>
      </c>
      <c r="G24" s="3">
        <v>15</v>
      </c>
      <c r="H24" s="3">
        <v>24</v>
      </c>
      <c r="I24" s="3">
        <v>0</v>
      </c>
      <c r="J24" s="3">
        <v>13</v>
      </c>
      <c r="K24" s="3">
        <v>103</v>
      </c>
      <c r="L24" t="s">
        <v>22</v>
      </c>
      <c r="M24" s="3">
        <v>0</v>
      </c>
      <c r="N24" t="s">
        <v>23</v>
      </c>
      <c r="O24" t="s">
        <v>22</v>
      </c>
      <c r="P24" t="s">
        <v>28</v>
      </c>
      <c r="Q24" t="s">
        <v>22</v>
      </c>
    </row>
    <row r="25" spans="1:17">
      <c r="A25" t="s">
        <v>70</v>
      </c>
      <c r="B25" t="s">
        <v>30</v>
      </c>
      <c r="C25" t="s">
        <v>31</v>
      </c>
      <c r="D25" t="s">
        <v>66</v>
      </c>
      <c r="E25" t="s">
        <v>21</v>
      </c>
      <c r="F25" s="2">
        <v>4892.47</v>
      </c>
      <c r="G25" s="3">
        <v>30</v>
      </c>
      <c r="H25" s="3">
        <v>36</v>
      </c>
      <c r="I25" s="3">
        <v>1</v>
      </c>
      <c r="J25" s="3">
        <v>31</v>
      </c>
      <c r="K25" s="3">
        <v>22</v>
      </c>
      <c r="L25" t="s">
        <v>22</v>
      </c>
      <c r="M25" s="3">
        <v>1</v>
      </c>
      <c r="N25" t="s">
        <v>23</v>
      </c>
      <c r="O25" t="s">
        <v>22</v>
      </c>
      <c r="P25" t="s">
        <v>35</v>
      </c>
      <c r="Q25" t="s">
        <v>22</v>
      </c>
    </row>
    <row r="26" spans="1:17">
      <c r="A26" t="s">
        <v>71</v>
      </c>
      <c r="B26" t="s">
        <v>18</v>
      </c>
      <c r="C26" t="s">
        <v>26</v>
      </c>
      <c r="D26" t="s">
        <v>20</v>
      </c>
      <c r="E26" t="s">
        <v>43</v>
      </c>
      <c r="F26" s="2">
        <v>5644.1</v>
      </c>
      <c r="G26" s="3">
        <v>45</v>
      </c>
      <c r="H26" s="3">
        <v>45</v>
      </c>
      <c r="I26" s="3">
        <v>3</v>
      </c>
      <c r="J26" s="3">
        <v>72</v>
      </c>
      <c r="K26" s="3">
        <v>62</v>
      </c>
      <c r="L26" t="s">
        <v>22</v>
      </c>
      <c r="M26" s="3">
        <v>2</v>
      </c>
      <c r="N26" t="s">
        <v>22</v>
      </c>
      <c r="O26" t="s">
        <v>22</v>
      </c>
      <c r="P26" t="s">
        <v>24</v>
      </c>
      <c r="Q26" t="s">
        <v>23</v>
      </c>
    </row>
    <row r="27" spans="1:17">
      <c r="A27" t="s">
        <v>72</v>
      </c>
      <c r="B27" t="s">
        <v>18</v>
      </c>
      <c r="C27" t="s">
        <v>52</v>
      </c>
      <c r="D27" t="s">
        <v>42</v>
      </c>
      <c r="E27" t="s">
        <v>40</v>
      </c>
      <c r="F27" s="2">
        <v>5281.95</v>
      </c>
      <c r="G27" s="3">
        <v>30</v>
      </c>
      <c r="H27" s="3">
        <v>6</v>
      </c>
      <c r="I27" s="3">
        <v>1</v>
      </c>
      <c r="J27" s="3">
        <v>52</v>
      </c>
      <c r="K27" s="3">
        <v>86</v>
      </c>
      <c r="L27" t="s">
        <v>23</v>
      </c>
      <c r="M27" s="3">
        <v>1</v>
      </c>
      <c r="N27" t="s">
        <v>23</v>
      </c>
      <c r="O27" t="s">
        <v>22</v>
      </c>
      <c r="P27" t="s">
        <v>24</v>
      </c>
      <c r="Q27" t="s">
        <v>23</v>
      </c>
    </row>
    <row r="28" spans="1:17">
      <c r="A28" t="s">
        <v>73</v>
      </c>
      <c r="B28" t="s">
        <v>18</v>
      </c>
      <c r="C28" t="s">
        <v>37</v>
      </c>
      <c r="D28" t="s">
        <v>20</v>
      </c>
      <c r="E28" t="s">
        <v>40</v>
      </c>
      <c r="F28" s="2">
        <v>2348.17</v>
      </c>
      <c r="G28" s="3">
        <v>45</v>
      </c>
      <c r="H28" s="3">
        <v>12</v>
      </c>
      <c r="I28" s="3">
        <v>2</v>
      </c>
      <c r="J28" s="3">
        <v>49</v>
      </c>
      <c r="K28" s="3">
        <v>65</v>
      </c>
      <c r="L28" t="s">
        <v>22</v>
      </c>
      <c r="M28" s="3">
        <v>1</v>
      </c>
      <c r="N28" t="s">
        <v>23</v>
      </c>
      <c r="O28" t="s">
        <v>22</v>
      </c>
      <c r="P28" t="s">
        <v>24</v>
      </c>
      <c r="Q28" t="s">
        <v>22</v>
      </c>
    </row>
    <row r="29" spans="1:17">
      <c r="A29" t="s">
        <v>74</v>
      </c>
      <c r="B29" t="s">
        <v>46</v>
      </c>
      <c r="C29" t="s">
        <v>37</v>
      </c>
      <c r="D29" t="s">
        <v>27</v>
      </c>
      <c r="E29" t="s">
        <v>32</v>
      </c>
      <c r="F29" s="2">
        <v>81177.66</v>
      </c>
      <c r="G29" s="3">
        <v>30</v>
      </c>
      <c r="H29" s="3">
        <v>82</v>
      </c>
      <c r="I29" s="3">
        <v>2</v>
      </c>
      <c r="J29" s="3">
        <v>46</v>
      </c>
      <c r="K29" s="3">
        <v>121</v>
      </c>
      <c r="L29" t="s">
        <v>22</v>
      </c>
      <c r="M29" s="3">
        <v>1</v>
      </c>
      <c r="N29" t="s">
        <v>22</v>
      </c>
      <c r="O29" t="s">
        <v>23</v>
      </c>
      <c r="P29" t="s">
        <v>28</v>
      </c>
      <c r="Q29" t="s">
        <v>23</v>
      </c>
    </row>
    <row r="30" spans="1:17">
      <c r="A30" t="s">
        <v>75</v>
      </c>
      <c r="B30" t="s">
        <v>18</v>
      </c>
      <c r="C30" t="s">
        <v>31</v>
      </c>
      <c r="D30" t="s">
        <v>27</v>
      </c>
      <c r="E30" t="s">
        <v>53</v>
      </c>
      <c r="F30" s="2">
        <v>7270.12</v>
      </c>
      <c r="G30" s="3">
        <v>30</v>
      </c>
      <c r="H30" s="3">
        <v>40</v>
      </c>
      <c r="I30" s="3">
        <v>2</v>
      </c>
      <c r="J30" s="3">
        <v>39</v>
      </c>
      <c r="K30" s="3">
        <v>92</v>
      </c>
      <c r="L30" t="s">
        <v>22</v>
      </c>
      <c r="M30" s="3">
        <v>3</v>
      </c>
      <c r="N30" t="s">
        <v>23</v>
      </c>
      <c r="O30" t="s">
        <v>23</v>
      </c>
      <c r="P30" t="s">
        <v>28</v>
      </c>
      <c r="Q30" t="s">
        <v>23</v>
      </c>
    </row>
    <row r="31" spans="1:17">
      <c r="A31" t="s">
        <v>76</v>
      </c>
      <c r="B31" t="s">
        <v>30</v>
      </c>
      <c r="C31" t="s">
        <v>31</v>
      </c>
      <c r="D31" t="s">
        <v>47</v>
      </c>
      <c r="E31" t="s">
        <v>34</v>
      </c>
      <c r="F31" s="2">
        <v>13474.22</v>
      </c>
      <c r="G31" s="3">
        <v>60</v>
      </c>
      <c r="H31" s="3">
        <v>44</v>
      </c>
      <c r="I31" s="3">
        <v>0</v>
      </c>
      <c r="J31" s="3">
        <v>65</v>
      </c>
      <c r="K31" s="3">
        <v>148</v>
      </c>
      <c r="L31" t="s">
        <v>22</v>
      </c>
      <c r="M31" s="3">
        <v>1</v>
      </c>
      <c r="N31" t="s">
        <v>22</v>
      </c>
      <c r="O31" t="s">
        <v>22</v>
      </c>
      <c r="P31" t="s">
        <v>28</v>
      </c>
      <c r="Q31" t="s">
        <v>23</v>
      </c>
    </row>
    <row r="32" spans="1:17">
      <c r="A32" t="s">
        <v>77</v>
      </c>
      <c r="B32" t="s">
        <v>30</v>
      </c>
      <c r="C32" t="s">
        <v>55</v>
      </c>
      <c r="D32" t="s">
        <v>66</v>
      </c>
      <c r="E32" t="s">
        <v>34</v>
      </c>
      <c r="F32" s="2">
        <v>8009.05</v>
      </c>
      <c r="G32" s="3">
        <v>60</v>
      </c>
      <c r="H32" s="3">
        <v>51</v>
      </c>
      <c r="I32" s="3">
        <v>0</v>
      </c>
      <c r="J32" s="3">
        <v>64</v>
      </c>
      <c r="K32" s="3">
        <v>175</v>
      </c>
      <c r="L32" t="s">
        <v>23</v>
      </c>
      <c r="M32" s="3">
        <v>2</v>
      </c>
      <c r="N32" t="s">
        <v>22</v>
      </c>
      <c r="O32" t="s">
        <v>23</v>
      </c>
      <c r="P32" t="s">
        <v>24</v>
      </c>
      <c r="Q32" t="s">
        <v>23</v>
      </c>
    </row>
    <row r="33" spans="1:17">
      <c r="A33" t="s">
        <v>78</v>
      </c>
      <c r="B33" t="s">
        <v>18</v>
      </c>
      <c r="C33" t="s">
        <v>52</v>
      </c>
      <c r="D33" t="s">
        <v>38</v>
      </c>
      <c r="E33" t="s">
        <v>43</v>
      </c>
      <c r="F33" s="2">
        <v>6917.81</v>
      </c>
      <c r="G33" s="3">
        <v>45</v>
      </c>
      <c r="H33" s="3">
        <v>24</v>
      </c>
      <c r="I33" s="3">
        <v>0</v>
      </c>
      <c r="J33" s="3">
        <v>58</v>
      </c>
      <c r="K33" s="3">
        <v>80</v>
      </c>
      <c r="L33" t="s">
        <v>22</v>
      </c>
      <c r="M33" s="3">
        <v>0</v>
      </c>
      <c r="N33" t="s">
        <v>23</v>
      </c>
      <c r="O33" t="s">
        <v>22</v>
      </c>
      <c r="P33" t="s">
        <v>28</v>
      </c>
      <c r="Q33" t="s">
        <v>22</v>
      </c>
    </row>
    <row r="34" spans="1:17">
      <c r="A34" t="s">
        <v>79</v>
      </c>
      <c r="B34" t="s">
        <v>18</v>
      </c>
      <c r="C34" t="s">
        <v>19</v>
      </c>
      <c r="D34" t="s">
        <v>47</v>
      </c>
      <c r="E34" t="s">
        <v>50</v>
      </c>
      <c r="F34" s="2">
        <v>3454.68</v>
      </c>
      <c r="G34" s="3">
        <v>45</v>
      </c>
      <c r="H34" s="3">
        <v>5</v>
      </c>
      <c r="I34" s="3">
        <v>1</v>
      </c>
      <c r="J34" s="3">
        <v>66</v>
      </c>
      <c r="K34" s="3">
        <v>126</v>
      </c>
      <c r="L34" t="s">
        <v>22</v>
      </c>
      <c r="M34" s="3">
        <v>1</v>
      </c>
      <c r="N34" t="s">
        <v>22</v>
      </c>
      <c r="O34" t="s">
        <v>22</v>
      </c>
      <c r="P34" t="s">
        <v>24</v>
      </c>
      <c r="Q34" t="s">
        <v>23</v>
      </c>
    </row>
    <row r="35" spans="1:17">
      <c r="A35" t="s">
        <v>80</v>
      </c>
      <c r="B35" t="s">
        <v>30</v>
      </c>
      <c r="C35" t="s">
        <v>31</v>
      </c>
      <c r="D35" t="s">
        <v>66</v>
      </c>
      <c r="E35" t="s">
        <v>32</v>
      </c>
      <c r="F35" s="2">
        <v>12850.55</v>
      </c>
      <c r="G35" s="3">
        <v>15</v>
      </c>
      <c r="H35" s="3">
        <v>48</v>
      </c>
      <c r="I35" s="3">
        <v>1</v>
      </c>
      <c r="J35" s="3">
        <v>27</v>
      </c>
      <c r="K35" s="3">
        <v>156</v>
      </c>
      <c r="L35" t="s">
        <v>22</v>
      </c>
      <c r="M35" s="3">
        <v>2</v>
      </c>
      <c r="N35" t="s">
        <v>22</v>
      </c>
      <c r="O35" t="s">
        <v>22</v>
      </c>
      <c r="P35" t="s">
        <v>24</v>
      </c>
      <c r="Q35" t="s">
        <v>23</v>
      </c>
    </row>
    <row r="36" spans="1:17">
      <c r="A36" t="s">
        <v>81</v>
      </c>
      <c r="B36" t="s">
        <v>46</v>
      </c>
      <c r="C36" t="s">
        <v>26</v>
      </c>
      <c r="D36" t="s">
        <v>66</v>
      </c>
      <c r="E36" t="s">
        <v>48</v>
      </c>
      <c r="F36" s="2">
        <v>21525.17</v>
      </c>
      <c r="G36" s="3">
        <v>30</v>
      </c>
      <c r="H36" s="3">
        <v>42</v>
      </c>
      <c r="I36" s="3">
        <v>0</v>
      </c>
      <c r="J36" s="3">
        <v>30</v>
      </c>
      <c r="K36" s="3">
        <v>30</v>
      </c>
      <c r="L36" t="s">
        <v>22</v>
      </c>
      <c r="M36" s="3">
        <v>1</v>
      </c>
      <c r="N36" t="s">
        <v>23</v>
      </c>
      <c r="O36" t="s">
        <v>22</v>
      </c>
      <c r="P36" t="s">
        <v>24</v>
      </c>
      <c r="Q36" t="s">
        <v>22</v>
      </c>
    </row>
    <row r="37" spans="1:17">
      <c r="A37" t="s">
        <v>82</v>
      </c>
      <c r="B37" t="s">
        <v>18</v>
      </c>
      <c r="C37" t="s">
        <v>52</v>
      </c>
      <c r="D37" t="s">
        <v>27</v>
      </c>
      <c r="E37" t="s">
        <v>34</v>
      </c>
      <c r="F37" s="2">
        <v>5714.82</v>
      </c>
      <c r="G37" s="3">
        <v>60</v>
      </c>
      <c r="H37" s="3">
        <v>43</v>
      </c>
      <c r="I37" s="3">
        <v>0</v>
      </c>
      <c r="J37" s="3">
        <v>66</v>
      </c>
      <c r="K37" s="3">
        <v>33</v>
      </c>
      <c r="L37" t="s">
        <v>22</v>
      </c>
      <c r="M37" s="3">
        <v>0</v>
      </c>
      <c r="N37" t="s">
        <v>22</v>
      </c>
      <c r="O37" t="s">
        <v>23</v>
      </c>
      <c r="P37" t="s">
        <v>24</v>
      </c>
      <c r="Q37" t="s">
        <v>22</v>
      </c>
    </row>
    <row r="38" spans="1:17">
      <c r="A38" t="s">
        <v>83</v>
      </c>
      <c r="B38" t="s">
        <v>46</v>
      </c>
      <c r="C38" t="s">
        <v>31</v>
      </c>
      <c r="D38" t="s">
        <v>38</v>
      </c>
      <c r="E38" t="s">
        <v>60</v>
      </c>
      <c r="F38" s="2">
        <v>49184.5</v>
      </c>
      <c r="G38" s="3">
        <v>30</v>
      </c>
      <c r="H38" s="3">
        <v>44</v>
      </c>
      <c r="I38" s="3">
        <v>1</v>
      </c>
      <c r="J38" s="3">
        <v>46</v>
      </c>
      <c r="K38" s="3">
        <v>72</v>
      </c>
      <c r="L38" t="s">
        <v>22</v>
      </c>
      <c r="M38" s="3">
        <v>0</v>
      </c>
      <c r="N38" t="s">
        <v>23</v>
      </c>
      <c r="O38" t="s">
        <v>22</v>
      </c>
      <c r="P38" t="s">
        <v>24</v>
      </c>
      <c r="Q38" t="s">
        <v>22</v>
      </c>
    </row>
    <row r="39" spans="1:17">
      <c r="A39" t="s">
        <v>84</v>
      </c>
      <c r="B39" t="s">
        <v>30</v>
      </c>
      <c r="C39" t="s">
        <v>26</v>
      </c>
      <c r="D39" t="s">
        <v>38</v>
      </c>
      <c r="E39" t="s">
        <v>85</v>
      </c>
      <c r="F39" s="2">
        <v>21207.63</v>
      </c>
      <c r="G39" s="3">
        <v>15</v>
      </c>
      <c r="H39" s="3">
        <v>83</v>
      </c>
      <c r="I39" s="3">
        <v>0</v>
      </c>
      <c r="J39" s="3">
        <v>19</v>
      </c>
      <c r="K39" s="3">
        <v>88</v>
      </c>
      <c r="L39" t="s">
        <v>22</v>
      </c>
      <c r="M39" s="3">
        <v>1</v>
      </c>
      <c r="N39" t="s">
        <v>23</v>
      </c>
      <c r="O39" t="s">
        <v>22</v>
      </c>
      <c r="P39" t="s">
        <v>35</v>
      </c>
      <c r="Q39" t="s">
        <v>22</v>
      </c>
    </row>
    <row r="40" spans="1:17">
      <c r="A40" t="s">
        <v>86</v>
      </c>
      <c r="B40" t="s">
        <v>30</v>
      </c>
      <c r="C40" t="s">
        <v>52</v>
      </c>
      <c r="D40" t="s">
        <v>66</v>
      </c>
      <c r="E40" t="s">
        <v>32</v>
      </c>
      <c r="F40" s="2">
        <v>14515.98</v>
      </c>
      <c r="G40" s="3">
        <v>30</v>
      </c>
      <c r="H40" s="3">
        <v>26</v>
      </c>
      <c r="I40" s="3">
        <v>0</v>
      </c>
      <c r="J40" s="3">
        <v>33</v>
      </c>
      <c r="K40" s="3">
        <v>107</v>
      </c>
      <c r="L40" t="s">
        <v>23</v>
      </c>
      <c r="M40" s="3">
        <v>0</v>
      </c>
      <c r="N40" t="s">
        <v>23</v>
      </c>
      <c r="O40" t="s">
        <v>23</v>
      </c>
      <c r="P40" t="s">
        <v>24</v>
      </c>
      <c r="Q40" t="s">
        <v>22</v>
      </c>
    </row>
    <row r="41" spans="1:17">
      <c r="A41" t="s">
        <v>87</v>
      </c>
      <c r="B41" t="s">
        <v>18</v>
      </c>
      <c r="C41" t="s">
        <v>52</v>
      </c>
      <c r="D41" t="s">
        <v>66</v>
      </c>
      <c r="E41" t="s">
        <v>34</v>
      </c>
      <c r="F41" s="2">
        <v>1600.26</v>
      </c>
      <c r="G41" s="3">
        <v>45</v>
      </c>
      <c r="H41" s="3">
        <v>35</v>
      </c>
      <c r="I41" s="3">
        <v>1</v>
      </c>
      <c r="J41" s="3">
        <v>58</v>
      </c>
      <c r="K41" s="3">
        <v>88</v>
      </c>
      <c r="L41" t="s">
        <v>22</v>
      </c>
      <c r="M41" s="3">
        <v>0</v>
      </c>
      <c r="N41" t="s">
        <v>23</v>
      </c>
      <c r="O41" t="s">
        <v>22</v>
      </c>
      <c r="P41" t="s">
        <v>24</v>
      </c>
      <c r="Q41" t="s">
        <v>22</v>
      </c>
    </row>
    <row r="42" spans="1:17">
      <c r="A42" t="s">
        <v>88</v>
      </c>
      <c r="B42" t="s">
        <v>30</v>
      </c>
      <c r="C42" t="s">
        <v>31</v>
      </c>
      <c r="D42" t="s">
        <v>47</v>
      </c>
      <c r="E42" t="s">
        <v>40</v>
      </c>
      <c r="F42" s="2">
        <v>29091.13</v>
      </c>
      <c r="G42" s="3">
        <v>45</v>
      </c>
      <c r="H42" s="3">
        <v>49</v>
      </c>
      <c r="I42" s="3">
        <v>0</v>
      </c>
      <c r="J42" s="3">
        <v>49</v>
      </c>
      <c r="K42" s="3">
        <v>109</v>
      </c>
      <c r="L42" t="s">
        <v>22</v>
      </c>
      <c r="M42" s="3">
        <v>0</v>
      </c>
      <c r="N42" t="s">
        <v>22</v>
      </c>
      <c r="O42" t="s">
        <v>22</v>
      </c>
      <c r="P42" t="s">
        <v>24</v>
      </c>
      <c r="Q42" t="s">
        <v>22</v>
      </c>
    </row>
    <row r="43" spans="1:17">
      <c r="A43" t="s">
        <v>89</v>
      </c>
      <c r="B43" t="s">
        <v>18</v>
      </c>
      <c r="C43" t="s">
        <v>19</v>
      </c>
      <c r="D43" t="s">
        <v>38</v>
      </c>
      <c r="E43" t="s">
        <v>58</v>
      </c>
      <c r="F43" s="2">
        <v>7489.35</v>
      </c>
      <c r="G43" s="3">
        <v>60</v>
      </c>
      <c r="H43" s="3">
        <v>33</v>
      </c>
      <c r="I43" s="3">
        <v>1</v>
      </c>
      <c r="J43" s="3">
        <v>67</v>
      </c>
      <c r="K43" s="3">
        <v>140</v>
      </c>
      <c r="L43" t="s">
        <v>22</v>
      </c>
      <c r="M43" s="3">
        <v>1</v>
      </c>
      <c r="N43" t="s">
        <v>22</v>
      </c>
      <c r="O43" t="s">
        <v>22</v>
      </c>
      <c r="P43" t="s">
        <v>35</v>
      </c>
      <c r="Q43" t="s">
        <v>23</v>
      </c>
    </row>
    <row r="44" spans="1:17">
      <c r="A44" t="s">
        <v>90</v>
      </c>
      <c r="B44" t="s">
        <v>30</v>
      </c>
      <c r="C44" t="s">
        <v>26</v>
      </c>
      <c r="D44" t="s">
        <v>66</v>
      </c>
      <c r="E44" t="s">
        <v>50</v>
      </c>
      <c r="F44" s="2">
        <v>31501.24</v>
      </c>
      <c r="G44" s="3">
        <v>45</v>
      </c>
      <c r="H44" s="3">
        <v>53</v>
      </c>
      <c r="I44" s="3">
        <v>1</v>
      </c>
      <c r="J44" s="3">
        <v>63</v>
      </c>
      <c r="K44" s="3">
        <v>77</v>
      </c>
      <c r="L44" t="s">
        <v>22</v>
      </c>
      <c r="M44" s="3">
        <v>1</v>
      </c>
      <c r="N44" t="s">
        <v>22</v>
      </c>
      <c r="O44" t="s">
        <v>22</v>
      </c>
      <c r="P44" t="s">
        <v>35</v>
      </c>
      <c r="Q44" t="s">
        <v>22</v>
      </c>
    </row>
    <row r="45" spans="1:17">
      <c r="A45" t="s">
        <v>91</v>
      </c>
      <c r="B45" t="s">
        <v>30</v>
      </c>
      <c r="C45" t="s">
        <v>31</v>
      </c>
      <c r="D45" t="s">
        <v>66</v>
      </c>
      <c r="E45" t="s">
        <v>85</v>
      </c>
      <c r="F45" s="2">
        <v>13196.08</v>
      </c>
      <c r="G45" s="3">
        <v>60</v>
      </c>
      <c r="H45" s="3">
        <v>62</v>
      </c>
      <c r="I45" s="3">
        <v>4</v>
      </c>
      <c r="J45" s="3">
        <v>71</v>
      </c>
      <c r="K45" s="3">
        <v>118</v>
      </c>
      <c r="L45" t="s">
        <v>22</v>
      </c>
      <c r="M45" s="3">
        <v>3</v>
      </c>
      <c r="N45" t="s">
        <v>23</v>
      </c>
      <c r="O45" t="s">
        <v>22</v>
      </c>
      <c r="P45" t="s">
        <v>28</v>
      </c>
      <c r="Q45" t="s">
        <v>23</v>
      </c>
    </row>
    <row r="46" spans="1:17">
      <c r="A46" t="s">
        <v>92</v>
      </c>
      <c r="B46" t="s">
        <v>30</v>
      </c>
      <c r="C46" t="s">
        <v>55</v>
      </c>
      <c r="D46" t="s">
        <v>42</v>
      </c>
      <c r="E46" t="s">
        <v>60</v>
      </c>
      <c r="F46" s="2">
        <v>10485.25</v>
      </c>
      <c r="G46" s="3">
        <v>45</v>
      </c>
      <c r="H46" s="3">
        <v>79</v>
      </c>
      <c r="I46" s="3">
        <v>0</v>
      </c>
      <c r="J46" s="3">
        <v>49</v>
      </c>
      <c r="K46" s="3">
        <v>169</v>
      </c>
      <c r="L46" t="s">
        <v>22</v>
      </c>
      <c r="M46" s="3">
        <v>0</v>
      </c>
      <c r="N46" t="s">
        <v>23</v>
      </c>
      <c r="O46" t="s">
        <v>22</v>
      </c>
      <c r="P46" t="s">
        <v>28</v>
      </c>
      <c r="Q46" t="s">
        <v>22</v>
      </c>
    </row>
    <row r="47" spans="1:17">
      <c r="A47" t="s">
        <v>93</v>
      </c>
      <c r="B47" t="s">
        <v>18</v>
      </c>
      <c r="C47" t="s">
        <v>55</v>
      </c>
      <c r="D47" t="s">
        <v>20</v>
      </c>
      <c r="E47" t="s">
        <v>40</v>
      </c>
      <c r="F47" s="2">
        <v>2068.19</v>
      </c>
      <c r="G47" s="3">
        <v>30</v>
      </c>
      <c r="H47" s="3">
        <v>18</v>
      </c>
      <c r="I47" s="3">
        <v>2</v>
      </c>
      <c r="J47" s="3">
        <v>35</v>
      </c>
      <c r="K47" s="3">
        <v>166</v>
      </c>
      <c r="L47" t="s">
        <v>22</v>
      </c>
      <c r="M47" s="3">
        <v>3</v>
      </c>
      <c r="N47" t="s">
        <v>22</v>
      </c>
      <c r="O47" t="s">
        <v>23</v>
      </c>
      <c r="P47" t="s">
        <v>28</v>
      </c>
      <c r="Q47" t="s">
        <v>23</v>
      </c>
    </row>
    <row r="48" spans="1:17">
      <c r="A48" t="s">
        <v>94</v>
      </c>
      <c r="B48" t="s">
        <v>46</v>
      </c>
      <c r="C48" t="s">
        <v>19</v>
      </c>
      <c r="D48" t="s">
        <v>27</v>
      </c>
      <c r="E48" t="s">
        <v>43</v>
      </c>
      <c r="F48" s="2">
        <v>60656.79</v>
      </c>
      <c r="G48" s="3">
        <v>30</v>
      </c>
      <c r="H48" s="3">
        <v>58</v>
      </c>
      <c r="I48" s="3">
        <v>1</v>
      </c>
      <c r="J48" s="3">
        <v>37</v>
      </c>
      <c r="K48" s="3">
        <v>52</v>
      </c>
      <c r="L48" t="s">
        <v>22</v>
      </c>
      <c r="M48" s="3">
        <v>0</v>
      </c>
      <c r="N48" t="s">
        <v>22</v>
      </c>
      <c r="O48" t="s">
        <v>23</v>
      </c>
      <c r="P48" t="s">
        <v>35</v>
      </c>
      <c r="Q48" t="s">
        <v>22</v>
      </c>
    </row>
    <row r="49" spans="1:17">
      <c r="A49" t="s">
        <v>95</v>
      </c>
      <c r="B49" t="s">
        <v>18</v>
      </c>
      <c r="C49" t="s">
        <v>55</v>
      </c>
      <c r="D49" t="s">
        <v>47</v>
      </c>
      <c r="E49" t="s">
        <v>21</v>
      </c>
      <c r="F49" s="2">
        <v>3884.17</v>
      </c>
      <c r="G49" s="3">
        <v>30</v>
      </c>
      <c r="H49" s="3">
        <v>25</v>
      </c>
      <c r="I49" s="3">
        <v>0</v>
      </c>
      <c r="J49" s="3">
        <v>26</v>
      </c>
      <c r="K49" s="3">
        <v>125</v>
      </c>
      <c r="L49" t="s">
        <v>22</v>
      </c>
      <c r="M49" s="3">
        <v>3</v>
      </c>
      <c r="N49" t="s">
        <v>23</v>
      </c>
      <c r="O49" t="s">
        <v>22</v>
      </c>
      <c r="P49" t="s">
        <v>24</v>
      </c>
      <c r="Q49" t="s">
        <v>22</v>
      </c>
    </row>
    <row r="50" spans="1:17">
      <c r="A50" t="s">
        <v>96</v>
      </c>
      <c r="B50" t="s">
        <v>18</v>
      </c>
      <c r="C50" t="s">
        <v>31</v>
      </c>
      <c r="D50" t="s">
        <v>20</v>
      </c>
      <c r="E50" t="s">
        <v>32</v>
      </c>
      <c r="F50" s="2">
        <v>7848.02</v>
      </c>
      <c r="G50" s="3">
        <v>45</v>
      </c>
      <c r="H50" s="3">
        <v>17</v>
      </c>
      <c r="I50" s="3">
        <v>1</v>
      </c>
      <c r="J50" s="3">
        <v>60</v>
      </c>
      <c r="K50" s="3">
        <v>81</v>
      </c>
      <c r="L50" t="s">
        <v>22</v>
      </c>
      <c r="M50" s="3">
        <v>0</v>
      </c>
      <c r="N50" t="s">
        <v>22</v>
      </c>
      <c r="O50" t="s">
        <v>22</v>
      </c>
      <c r="P50" t="s">
        <v>35</v>
      </c>
      <c r="Q50" t="s">
        <v>23</v>
      </c>
    </row>
    <row r="51" spans="1:17">
      <c r="A51" t="s">
        <v>97</v>
      </c>
      <c r="B51" t="s">
        <v>30</v>
      </c>
      <c r="C51" t="s">
        <v>19</v>
      </c>
      <c r="D51" t="s">
        <v>27</v>
      </c>
      <c r="E51" t="s">
        <v>34</v>
      </c>
      <c r="F51" s="2">
        <v>11802.45</v>
      </c>
      <c r="G51" s="3">
        <v>45</v>
      </c>
      <c r="H51" s="3">
        <v>79</v>
      </c>
      <c r="I51" s="3">
        <v>1</v>
      </c>
      <c r="J51" s="3">
        <v>58</v>
      </c>
      <c r="K51" s="3">
        <v>79</v>
      </c>
      <c r="L51" t="s">
        <v>22</v>
      </c>
      <c r="M51" s="3">
        <v>2</v>
      </c>
      <c r="N51" t="s">
        <v>23</v>
      </c>
      <c r="O51" t="s">
        <v>22</v>
      </c>
      <c r="P51" t="s">
        <v>28</v>
      </c>
      <c r="Q51" t="s">
        <v>22</v>
      </c>
    </row>
    <row r="52" spans="1:17">
      <c r="A52" t="s">
        <v>98</v>
      </c>
      <c r="B52" t="s">
        <v>30</v>
      </c>
      <c r="C52" t="s">
        <v>31</v>
      </c>
      <c r="D52" t="s">
        <v>20</v>
      </c>
      <c r="E52" t="s">
        <v>85</v>
      </c>
      <c r="F52" s="2">
        <v>7089.45</v>
      </c>
      <c r="G52" s="3">
        <v>30</v>
      </c>
      <c r="H52" s="3">
        <v>24</v>
      </c>
      <c r="I52" s="3">
        <v>0</v>
      </c>
      <c r="J52" s="3">
        <v>37</v>
      </c>
      <c r="K52" s="3">
        <v>116</v>
      </c>
      <c r="L52" t="s">
        <v>22</v>
      </c>
      <c r="M52" s="3">
        <v>1</v>
      </c>
      <c r="N52" t="s">
        <v>23</v>
      </c>
      <c r="O52" t="s">
        <v>22</v>
      </c>
      <c r="P52" t="s">
        <v>35</v>
      </c>
      <c r="Q52" t="s">
        <v>23</v>
      </c>
    </row>
    <row r="53" spans="1:17">
      <c r="A53" t="s">
        <v>99</v>
      </c>
      <c r="B53" t="s">
        <v>18</v>
      </c>
      <c r="C53" t="s">
        <v>55</v>
      </c>
      <c r="D53" t="s">
        <v>42</v>
      </c>
      <c r="E53" t="s">
        <v>34</v>
      </c>
      <c r="F53" s="2">
        <v>952.32</v>
      </c>
      <c r="G53" s="3">
        <v>30</v>
      </c>
      <c r="H53" s="3">
        <v>47</v>
      </c>
      <c r="I53" s="3">
        <v>1</v>
      </c>
      <c r="J53" s="3">
        <v>34</v>
      </c>
      <c r="K53" s="3">
        <v>71</v>
      </c>
      <c r="L53" t="s">
        <v>22</v>
      </c>
      <c r="M53" s="3">
        <v>2</v>
      </c>
      <c r="N53" t="s">
        <v>23</v>
      </c>
      <c r="O53" t="s">
        <v>23</v>
      </c>
      <c r="P53" t="s">
        <v>35</v>
      </c>
      <c r="Q53" t="s">
        <v>23</v>
      </c>
    </row>
    <row r="54" spans="1:17">
      <c r="A54" t="s">
        <v>100</v>
      </c>
      <c r="B54" t="s">
        <v>18</v>
      </c>
      <c r="C54" t="s">
        <v>26</v>
      </c>
      <c r="D54" t="s">
        <v>66</v>
      </c>
      <c r="E54" t="s">
        <v>40</v>
      </c>
      <c r="F54" s="2">
        <v>5888.57</v>
      </c>
      <c r="G54" s="3">
        <v>45</v>
      </c>
      <c r="H54" s="3">
        <v>22</v>
      </c>
      <c r="I54" s="3">
        <v>0</v>
      </c>
      <c r="J54" s="3">
        <v>54</v>
      </c>
      <c r="K54" s="3">
        <v>179</v>
      </c>
      <c r="L54" t="s">
        <v>22</v>
      </c>
      <c r="M54" s="3">
        <v>1</v>
      </c>
      <c r="N54" t="s">
        <v>23</v>
      </c>
      <c r="O54" t="s">
        <v>23</v>
      </c>
      <c r="P54" t="s">
        <v>24</v>
      </c>
      <c r="Q54" t="s">
        <v>23</v>
      </c>
    </row>
    <row r="55" spans="1:17">
      <c r="A55" t="s">
        <v>101</v>
      </c>
      <c r="B55" t="s">
        <v>18</v>
      </c>
      <c r="C55" t="s">
        <v>31</v>
      </c>
      <c r="D55" t="s">
        <v>66</v>
      </c>
      <c r="E55" t="s">
        <v>34</v>
      </c>
      <c r="F55" s="2">
        <v>6840.32</v>
      </c>
      <c r="G55" s="3">
        <v>30</v>
      </c>
      <c r="H55" s="3">
        <v>7</v>
      </c>
      <c r="I55" s="3">
        <v>1</v>
      </c>
      <c r="J55" s="3">
        <v>30</v>
      </c>
      <c r="K55" s="3">
        <v>19</v>
      </c>
      <c r="L55" t="s">
        <v>22</v>
      </c>
      <c r="M55" s="3">
        <v>3</v>
      </c>
      <c r="N55" t="s">
        <v>22</v>
      </c>
      <c r="O55" t="s">
        <v>22</v>
      </c>
      <c r="P55" t="s">
        <v>35</v>
      </c>
      <c r="Q55" t="s">
        <v>22</v>
      </c>
    </row>
    <row r="56" spans="1:17">
      <c r="A56" t="s">
        <v>102</v>
      </c>
      <c r="B56" t="s">
        <v>30</v>
      </c>
      <c r="C56" t="s">
        <v>31</v>
      </c>
      <c r="D56" t="s">
        <v>27</v>
      </c>
      <c r="E56" t="s">
        <v>103</v>
      </c>
      <c r="F56" s="2">
        <v>9904</v>
      </c>
      <c r="G56" s="3">
        <v>45</v>
      </c>
      <c r="H56" s="3">
        <v>24</v>
      </c>
      <c r="I56" s="3">
        <v>1</v>
      </c>
      <c r="J56" s="3">
        <v>46</v>
      </c>
      <c r="K56" s="3">
        <v>147</v>
      </c>
      <c r="L56" t="s">
        <v>23</v>
      </c>
      <c r="M56" s="3">
        <v>2</v>
      </c>
      <c r="N56" t="s">
        <v>23</v>
      </c>
      <c r="O56" t="s">
        <v>23</v>
      </c>
      <c r="P56" t="s">
        <v>28</v>
      </c>
      <c r="Q56" t="s">
        <v>22</v>
      </c>
    </row>
    <row r="57" spans="1:17">
      <c r="A57" t="s">
        <v>104</v>
      </c>
      <c r="B57" t="s">
        <v>46</v>
      </c>
      <c r="C57" t="s">
        <v>52</v>
      </c>
      <c r="D57" t="s">
        <v>66</v>
      </c>
      <c r="E57" t="s">
        <v>43</v>
      </c>
      <c r="F57" s="2">
        <v>19316.77</v>
      </c>
      <c r="G57" s="3">
        <v>45</v>
      </c>
      <c r="H57" s="3">
        <v>14</v>
      </c>
      <c r="I57" s="3">
        <v>2</v>
      </c>
      <c r="J57" s="3">
        <v>60</v>
      </c>
      <c r="K57" s="3">
        <v>170</v>
      </c>
      <c r="L57" t="s">
        <v>22</v>
      </c>
      <c r="M57" s="3">
        <v>3</v>
      </c>
      <c r="N57" t="s">
        <v>22</v>
      </c>
      <c r="O57" t="s">
        <v>22</v>
      </c>
      <c r="P57" t="s">
        <v>35</v>
      </c>
      <c r="Q57" t="s">
        <v>23</v>
      </c>
    </row>
    <row r="58" spans="1:17">
      <c r="A58" t="s">
        <v>105</v>
      </c>
      <c r="B58" t="s">
        <v>18</v>
      </c>
      <c r="C58" t="s">
        <v>26</v>
      </c>
      <c r="D58" t="s">
        <v>47</v>
      </c>
      <c r="E58" t="s">
        <v>40</v>
      </c>
      <c r="F58" s="2">
        <v>2647.94</v>
      </c>
      <c r="G58" s="3">
        <v>30</v>
      </c>
      <c r="H58" s="3">
        <v>16</v>
      </c>
      <c r="I58" s="3">
        <v>2</v>
      </c>
      <c r="J58" s="3">
        <v>22</v>
      </c>
      <c r="K58" s="3">
        <v>94</v>
      </c>
      <c r="L58" t="s">
        <v>22</v>
      </c>
      <c r="M58" s="3">
        <v>1</v>
      </c>
      <c r="N58" t="s">
        <v>23</v>
      </c>
      <c r="O58" t="s">
        <v>22</v>
      </c>
      <c r="P58" t="s">
        <v>24</v>
      </c>
      <c r="Q58" t="s">
        <v>22</v>
      </c>
    </row>
    <row r="59" spans="1:17">
      <c r="A59" t="s">
        <v>106</v>
      </c>
      <c r="B59" t="s">
        <v>30</v>
      </c>
      <c r="C59" t="s">
        <v>37</v>
      </c>
      <c r="D59" t="s">
        <v>38</v>
      </c>
      <c r="E59" t="s">
        <v>43</v>
      </c>
      <c r="F59" s="2">
        <v>19357.57</v>
      </c>
      <c r="G59" s="3">
        <v>45</v>
      </c>
      <c r="H59" s="3">
        <v>75</v>
      </c>
      <c r="I59" s="3">
        <v>0</v>
      </c>
      <c r="J59" s="3">
        <v>49</v>
      </c>
      <c r="K59" s="3">
        <v>166</v>
      </c>
      <c r="L59" t="s">
        <v>22</v>
      </c>
      <c r="M59" s="3">
        <v>0</v>
      </c>
      <c r="N59" t="s">
        <v>22</v>
      </c>
      <c r="O59" t="s">
        <v>22</v>
      </c>
      <c r="P59" t="s">
        <v>28</v>
      </c>
      <c r="Q59" t="s">
        <v>22</v>
      </c>
    </row>
    <row r="60" spans="1:17">
      <c r="A60" t="s">
        <v>107</v>
      </c>
      <c r="B60" t="s">
        <v>46</v>
      </c>
      <c r="C60" t="s">
        <v>31</v>
      </c>
      <c r="D60" t="s">
        <v>66</v>
      </c>
      <c r="E60" t="s">
        <v>32</v>
      </c>
      <c r="F60" s="2">
        <v>42912.28</v>
      </c>
      <c r="G60" s="3">
        <v>30</v>
      </c>
      <c r="H60" s="3">
        <v>43</v>
      </c>
      <c r="I60" s="3">
        <v>0</v>
      </c>
      <c r="J60" s="3">
        <v>29</v>
      </c>
      <c r="K60" s="3">
        <v>175</v>
      </c>
      <c r="L60" t="s">
        <v>22</v>
      </c>
      <c r="M60" s="3">
        <v>0</v>
      </c>
      <c r="N60" t="s">
        <v>23</v>
      </c>
      <c r="O60" t="s">
        <v>22</v>
      </c>
      <c r="P60" t="s">
        <v>28</v>
      </c>
      <c r="Q60" t="s">
        <v>22</v>
      </c>
    </row>
    <row r="61" spans="1:17">
      <c r="A61" t="s">
        <v>108</v>
      </c>
      <c r="B61" t="s">
        <v>30</v>
      </c>
      <c r="C61" t="s">
        <v>31</v>
      </c>
      <c r="D61" t="s">
        <v>38</v>
      </c>
      <c r="E61" t="s">
        <v>43</v>
      </c>
      <c r="F61" s="2">
        <v>26127.360000000001</v>
      </c>
      <c r="G61" s="3">
        <v>60</v>
      </c>
      <c r="H61" s="3">
        <v>49</v>
      </c>
      <c r="I61" s="3">
        <v>1</v>
      </c>
      <c r="J61" s="3">
        <v>79</v>
      </c>
      <c r="K61" s="3">
        <v>127</v>
      </c>
      <c r="L61" t="s">
        <v>22</v>
      </c>
      <c r="M61" s="3">
        <v>1</v>
      </c>
      <c r="N61" t="s">
        <v>22</v>
      </c>
      <c r="O61" t="s">
        <v>22</v>
      </c>
      <c r="P61" t="s">
        <v>24</v>
      </c>
      <c r="Q61" t="s">
        <v>23</v>
      </c>
    </row>
    <row r="62" spans="1:17">
      <c r="A62" t="s">
        <v>109</v>
      </c>
      <c r="B62" t="s">
        <v>30</v>
      </c>
      <c r="C62" t="s">
        <v>19</v>
      </c>
      <c r="D62" t="s">
        <v>20</v>
      </c>
      <c r="E62" t="s">
        <v>53</v>
      </c>
      <c r="F62" s="2">
        <v>25580.15</v>
      </c>
      <c r="G62" s="3">
        <v>30</v>
      </c>
      <c r="H62" s="3">
        <v>48</v>
      </c>
      <c r="I62" s="3">
        <v>0</v>
      </c>
      <c r="J62" s="3">
        <v>36</v>
      </c>
      <c r="K62" s="3">
        <v>66</v>
      </c>
      <c r="L62" t="s">
        <v>22</v>
      </c>
      <c r="M62" s="3">
        <v>2</v>
      </c>
      <c r="N62" t="s">
        <v>23</v>
      </c>
      <c r="O62" t="s">
        <v>23</v>
      </c>
      <c r="P62" t="s">
        <v>28</v>
      </c>
      <c r="Q62" t="s">
        <v>22</v>
      </c>
    </row>
    <row r="63" spans="1:17">
      <c r="A63" t="s">
        <v>110</v>
      </c>
      <c r="B63" t="s">
        <v>30</v>
      </c>
      <c r="C63" t="s">
        <v>55</v>
      </c>
      <c r="D63" t="s">
        <v>66</v>
      </c>
      <c r="E63" t="s">
        <v>103</v>
      </c>
      <c r="F63" s="2">
        <v>23867.25</v>
      </c>
      <c r="G63" s="3">
        <v>15</v>
      </c>
      <c r="H63" s="3">
        <v>59</v>
      </c>
      <c r="I63" s="3">
        <v>4</v>
      </c>
      <c r="J63" s="3">
        <v>26</v>
      </c>
      <c r="K63" s="3">
        <v>130</v>
      </c>
      <c r="L63" t="s">
        <v>23</v>
      </c>
      <c r="M63" s="3">
        <v>4</v>
      </c>
      <c r="N63" t="s">
        <v>23</v>
      </c>
      <c r="O63" t="s">
        <v>23</v>
      </c>
      <c r="P63" t="s">
        <v>24</v>
      </c>
      <c r="Q63" t="s">
        <v>23</v>
      </c>
    </row>
    <row r="64" spans="1:17">
      <c r="A64" t="s">
        <v>111</v>
      </c>
      <c r="B64" t="s">
        <v>30</v>
      </c>
      <c r="C64" t="s">
        <v>37</v>
      </c>
      <c r="D64" t="s">
        <v>66</v>
      </c>
      <c r="E64" t="s">
        <v>48</v>
      </c>
      <c r="F64" s="2">
        <v>19268.240000000002</v>
      </c>
      <c r="G64" s="3">
        <v>45</v>
      </c>
      <c r="H64" s="3">
        <v>48</v>
      </c>
      <c r="I64" s="3">
        <v>0</v>
      </c>
      <c r="J64" s="3">
        <v>53</v>
      </c>
      <c r="K64" s="3">
        <v>126</v>
      </c>
      <c r="L64" t="s">
        <v>22</v>
      </c>
      <c r="M64" s="3">
        <v>0</v>
      </c>
      <c r="N64" t="s">
        <v>22</v>
      </c>
      <c r="O64" t="s">
        <v>23</v>
      </c>
      <c r="P64" t="s">
        <v>24</v>
      </c>
      <c r="Q64" t="s">
        <v>22</v>
      </c>
    </row>
    <row r="65" spans="1:17">
      <c r="A65" t="s">
        <v>112</v>
      </c>
      <c r="B65" t="s">
        <v>46</v>
      </c>
      <c r="C65" t="s">
        <v>52</v>
      </c>
      <c r="D65" t="s">
        <v>47</v>
      </c>
      <c r="E65" t="s">
        <v>60</v>
      </c>
      <c r="F65" s="2">
        <v>70505.27</v>
      </c>
      <c r="G65" s="3">
        <v>15</v>
      </c>
      <c r="H65" s="3">
        <v>41</v>
      </c>
      <c r="I65" s="3">
        <v>1</v>
      </c>
      <c r="J65" s="3">
        <v>24</v>
      </c>
      <c r="K65" s="3">
        <v>114</v>
      </c>
      <c r="L65" t="s">
        <v>22</v>
      </c>
      <c r="M65" s="3">
        <v>1</v>
      </c>
      <c r="N65" t="s">
        <v>23</v>
      </c>
      <c r="O65" t="s">
        <v>22</v>
      </c>
      <c r="P65" t="s">
        <v>28</v>
      </c>
      <c r="Q65" t="s">
        <v>22</v>
      </c>
    </row>
    <row r="66" spans="1:17">
      <c r="A66" t="s">
        <v>113</v>
      </c>
      <c r="B66" t="s">
        <v>18</v>
      </c>
      <c r="C66" t="s">
        <v>55</v>
      </c>
      <c r="D66" t="s">
        <v>42</v>
      </c>
      <c r="E66" t="s">
        <v>32</v>
      </c>
      <c r="F66" s="2">
        <v>1455.04</v>
      </c>
      <c r="G66" s="3">
        <v>30</v>
      </c>
      <c r="H66" s="3">
        <v>18</v>
      </c>
      <c r="I66" s="3">
        <v>3</v>
      </c>
      <c r="J66" s="3">
        <v>25</v>
      </c>
      <c r="K66" s="3">
        <v>82</v>
      </c>
      <c r="L66" t="s">
        <v>22</v>
      </c>
      <c r="M66" s="3">
        <v>4</v>
      </c>
      <c r="N66" t="s">
        <v>23</v>
      </c>
      <c r="O66" t="s">
        <v>22</v>
      </c>
      <c r="P66" t="s">
        <v>24</v>
      </c>
      <c r="Q66" t="s">
        <v>23</v>
      </c>
    </row>
    <row r="67" spans="1:17">
      <c r="A67" t="s">
        <v>114</v>
      </c>
      <c r="B67" t="s">
        <v>46</v>
      </c>
      <c r="C67" t="s">
        <v>52</v>
      </c>
      <c r="D67" t="s">
        <v>47</v>
      </c>
      <c r="E67" t="s">
        <v>103</v>
      </c>
      <c r="F67" s="2">
        <v>20233.52</v>
      </c>
      <c r="G67" s="3">
        <v>45</v>
      </c>
      <c r="H67" s="3">
        <v>76</v>
      </c>
      <c r="I67" s="3">
        <v>2</v>
      </c>
      <c r="J67" s="3">
        <v>56</v>
      </c>
      <c r="K67" s="3">
        <v>6</v>
      </c>
      <c r="L67" t="s">
        <v>22</v>
      </c>
      <c r="M67" s="3">
        <v>2</v>
      </c>
      <c r="N67" t="s">
        <v>23</v>
      </c>
      <c r="O67" t="s">
        <v>23</v>
      </c>
      <c r="P67" t="s">
        <v>24</v>
      </c>
      <c r="Q67" t="s">
        <v>23</v>
      </c>
    </row>
    <row r="68" spans="1:17">
      <c r="A68" t="s">
        <v>115</v>
      </c>
      <c r="B68" t="s">
        <v>46</v>
      </c>
      <c r="C68" t="s">
        <v>19</v>
      </c>
      <c r="D68" t="s">
        <v>20</v>
      </c>
      <c r="E68" t="s">
        <v>48</v>
      </c>
      <c r="F68" s="2">
        <v>94400.73</v>
      </c>
      <c r="G68" s="3">
        <v>30</v>
      </c>
      <c r="H68" s="3">
        <v>98</v>
      </c>
      <c r="I68" s="3">
        <v>0</v>
      </c>
      <c r="J68" s="3">
        <v>43</v>
      </c>
      <c r="K68" s="3">
        <v>29</v>
      </c>
      <c r="L68" t="s">
        <v>23</v>
      </c>
      <c r="M68" s="3">
        <v>2</v>
      </c>
      <c r="N68" t="s">
        <v>23</v>
      </c>
      <c r="O68" t="s">
        <v>22</v>
      </c>
      <c r="P68" t="s">
        <v>28</v>
      </c>
      <c r="Q68" t="s">
        <v>23</v>
      </c>
    </row>
    <row r="69" spans="1:17">
      <c r="A69" t="s">
        <v>116</v>
      </c>
      <c r="B69" t="s">
        <v>46</v>
      </c>
      <c r="C69" t="s">
        <v>26</v>
      </c>
      <c r="D69" t="s">
        <v>27</v>
      </c>
      <c r="E69" t="s">
        <v>53</v>
      </c>
      <c r="F69" s="2">
        <v>58852.38</v>
      </c>
      <c r="G69" s="3">
        <v>60</v>
      </c>
      <c r="H69" s="3">
        <v>54</v>
      </c>
      <c r="I69" s="3">
        <v>2</v>
      </c>
      <c r="J69" s="3">
        <v>71</v>
      </c>
      <c r="K69" s="3">
        <v>135</v>
      </c>
      <c r="L69" t="s">
        <v>22</v>
      </c>
      <c r="M69" s="3">
        <v>1</v>
      </c>
      <c r="N69" t="s">
        <v>22</v>
      </c>
      <c r="O69" t="s">
        <v>22</v>
      </c>
      <c r="P69" t="s">
        <v>35</v>
      </c>
      <c r="Q69" t="s">
        <v>23</v>
      </c>
    </row>
    <row r="70" spans="1:17">
      <c r="A70" t="s">
        <v>117</v>
      </c>
      <c r="B70" t="s">
        <v>18</v>
      </c>
      <c r="C70" t="s">
        <v>52</v>
      </c>
      <c r="D70" t="s">
        <v>42</v>
      </c>
      <c r="E70" t="s">
        <v>32</v>
      </c>
      <c r="F70" s="2">
        <v>4719.8100000000004</v>
      </c>
      <c r="G70" s="3">
        <v>45</v>
      </c>
      <c r="H70" s="3">
        <v>15</v>
      </c>
      <c r="I70" s="3">
        <v>0</v>
      </c>
      <c r="J70" s="3">
        <v>41</v>
      </c>
      <c r="K70" s="3">
        <v>137</v>
      </c>
      <c r="L70" t="s">
        <v>22</v>
      </c>
      <c r="M70" s="3">
        <v>0</v>
      </c>
      <c r="N70" t="s">
        <v>23</v>
      </c>
      <c r="O70" t="s">
        <v>22</v>
      </c>
      <c r="P70" t="s">
        <v>24</v>
      </c>
      <c r="Q70" t="s">
        <v>22</v>
      </c>
    </row>
    <row r="71" spans="1:17">
      <c r="A71" t="s">
        <v>118</v>
      </c>
      <c r="B71" t="s">
        <v>30</v>
      </c>
      <c r="C71" t="s">
        <v>37</v>
      </c>
      <c r="D71" t="s">
        <v>47</v>
      </c>
      <c r="E71" t="s">
        <v>40</v>
      </c>
      <c r="F71" s="2">
        <v>7462.17</v>
      </c>
      <c r="G71" s="3">
        <v>45</v>
      </c>
      <c r="H71" s="3">
        <v>50</v>
      </c>
      <c r="I71" s="3">
        <v>0</v>
      </c>
      <c r="J71" s="3">
        <v>53</v>
      </c>
      <c r="K71" s="3">
        <v>103</v>
      </c>
      <c r="L71" t="s">
        <v>22</v>
      </c>
      <c r="M71" s="3">
        <v>0</v>
      </c>
      <c r="N71" t="s">
        <v>23</v>
      </c>
      <c r="O71" t="s">
        <v>23</v>
      </c>
      <c r="P71" t="s">
        <v>24</v>
      </c>
      <c r="Q71" t="s">
        <v>22</v>
      </c>
    </row>
    <row r="72" spans="1:17">
      <c r="A72" t="s">
        <v>119</v>
      </c>
      <c r="B72" t="s">
        <v>46</v>
      </c>
      <c r="C72" t="s">
        <v>55</v>
      </c>
      <c r="D72" t="s">
        <v>42</v>
      </c>
      <c r="E72" t="s">
        <v>58</v>
      </c>
      <c r="F72" s="2">
        <v>57921.08</v>
      </c>
      <c r="G72" s="3">
        <v>30</v>
      </c>
      <c r="H72" s="3">
        <v>13</v>
      </c>
      <c r="I72" s="3">
        <v>0</v>
      </c>
      <c r="J72" s="3">
        <v>34</v>
      </c>
      <c r="K72" s="3">
        <v>22</v>
      </c>
      <c r="L72" t="s">
        <v>22</v>
      </c>
      <c r="M72" s="3">
        <v>2</v>
      </c>
      <c r="N72" t="s">
        <v>23</v>
      </c>
      <c r="O72" t="s">
        <v>22</v>
      </c>
      <c r="P72" t="s">
        <v>35</v>
      </c>
      <c r="Q72" t="s">
        <v>22</v>
      </c>
    </row>
    <row r="73" spans="1:17">
      <c r="A73" t="s">
        <v>120</v>
      </c>
      <c r="B73" t="s">
        <v>18</v>
      </c>
      <c r="C73" t="s">
        <v>37</v>
      </c>
      <c r="D73" t="s">
        <v>42</v>
      </c>
      <c r="E73" t="s">
        <v>85</v>
      </c>
      <c r="F73" s="2">
        <v>3761.22</v>
      </c>
      <c r="G73" s="3">
        <v>60</v>
      </c>
      <c r="H73" s="3">
        <v>31</v>
      </c>
      <c r="I73" s="3">
        <v>0</v>
      </c>
      <c r="J73" s="3">
        <v>57</v>
      </c>
      <c r="K73" s="3">
        <v>99</v>
      </c>
      <c r="L73" t="s">
        <v>22</v>
      </c>
      <c r="M73" s="3">
        <v>2</v>
      </c>
      <c r="N73" t="s">
        <v>23</v>
      </c>
      <c r="O73" t="s">
        <v>23</v>
      </c>
      <c r="P73" t="s">
        <v>35</v>
      </c>
      <c r="Q73" t="s">
        <v>22</v>
      </c>
    </row>
    <row r="74" spans="1:17">
      <c r="A74" t="s">
        <v>121</v>
      </c>
      <c r="B74" t="s">
        <v>18</v>
      </c>
      <c r="C74" t="s">
        <v>19</v>
      </c>
      <c r="D74" t="s">
        <v>27</v>
      </c>
      <c r="E74" t="s">
        <v>48</v>
      </c>
      <c r="F74" s="2">
        <v>7558.94</v>
      </c>
      <c r="G74" s="3">
        <v>45</v>
      </c>
      <c r="H74" s="3">
        <v>12</v>
      </c>
      <c r="I74" s="3">
        <v>0</v>
      </c>
      <c r="J74" s="3">
        <v>44</v>
      </c>
      <c r="K74" s="3">
        <v>158</v>
      </c>
      <c r="L74" t="s">
        <v>22</v>
      </c>
      <c r="M74" s="3">
        <v>0</v>
      </c>
      <c r="N74" t="s">
        <v>23</v>
      </c>
      <c r="O74" t="s">
        <v>22</v>
      </c>
      <c r="P74" t="s">
        <v>28</v>
      </c>
      <c r="Q74" t="s">
        <v>22</v>
      </c>
    </row>
    <row r="75" spans="1:17">
      <c r="A75" t="s">
        <v>122</v>
      </c>
      <c r="B75" t="s">
        <v>30</v>
      </c>
      <c r="C75" t="s">
        <v>31</v>
      </c>
      <c r="D75" t="s">
        <v>20</v>
      </c>
      <c r="E75" t="s">
        <v>32</v>
      </c>
      <c r="F75" s="2">
        <v>11663.9</v>
      </c>
      <c r="G75" s="3">
        <v>15</v>
      </c>
      <c r="H75" s="3">
        <v>50</v>
      </c>
      <c r="I75" s="3">
        <v>1</v>
      </c>
      <c r="J75" s="3">
        <v>39</v>
      </c>
      <c r="K75" s="3">
        <v>6</v>
      </c>
      <c r="L75" t="s">
        <v>22</v>
      </c>
      <c r="M75" s="3">
        <v>2</v>
      </c>
      <c r="N75" t="s">
        <v>22</v>
      </c>
      <c r="O75" t="s">
        <v>22</v>
      </c>
      <c r="P75" t="s">
        <v>24</v>
      </c>
      <c r="Q75" t="s">
        <v>23</v>
      </c>
    </row>
    <row r="76" spans="1:17">
      <c r="A76" t="s">
        <v>123</v>
      </c>
      <c r="B76" t="s">
        <v>18</v>
      </c>
      <c r="C76" t="s">
        <v>52</v>
      </c>
      <c r="D76" t="s">
        <v>66</v>
      </c>
      <c r="E76" t="s">
        <v>48</v>
      </c>
      <c r="F76" s="2">
        <v>1287.17</v>
      </c>
      <c r="G76" s="3">
        <v>30</v>
      </c>
      <c r="H76" s="3">
        <v>15</v>
      </c>
      <c r="I76" s="3">
        <v>1</v>
      </c>
      <c r="J76" s="3">
        <v>35</v>
      </c>
      <c r="K76" s="3">
        <v>47</v>
      </c>
      <c r="L76" t="s">
        <v>23</v>
      </c>
      <c r="M76" s="3">
        <v>1</v>
      </c>
      <c r="N76" t="s">
        <v>23</v>
      </c>
      <c r="O76" t="s">
        <v>22</v>
      </c>
      <c r="P76" t="s">
        <v>24</v>
      </c>
      <c r="Q76" t="s">
        <v>23</v>
      </c>
    </row>
    <row r="77" spans="1:17">
      <c r="A77" t="s">
        <v>124</v>
      </c>
      <c r="B77" t="s">
        <v>46</v>
      </c>
      <c r="C77" t="s">
        <v>52</v>
      </c>
      <c r="D77" t="s">
        <v>42</v>
      </c>
      <c r="E77" t="s">
        <v>53</v>
      </c>
      <c r="F77" s="2">
        <v>35651.089999999997</v>
      </c>
      <c r="G77" s="3">
        <v>15</v>
      </c>
      <c r="H77" s="3">
        <v>49</v>
      </c>
      <c r="I77" s="3">
        <v>0</v>
      </c>
      <c r="J77" s="3">
        <v>16</v>
      </c>
      <c r="K77" s="3">
        <v>7</v>
      </c>
      <c r="L77" t="s">
        <v>23</v>
      </c>
      <c r="M77" s="3">
        <v>2</v>
      </c>
      <c r="N77" t="s">
        <v>23</v>
      </c>
      <c r="O77" t="s">
        <v>22</v>
      </c>
      <c r="P77" t="s">
        <v>28</v>
      </c>
      <c r="Q77" t="s">
        <v>22</v>
      </c>
    </row>
    <row r="78" spans="1:17">
      <c r="A78" t="s">
        <v>125</v>
      </c>
      <c r="B78" t="s">
        <v>18</v>
      </c>
      <c r="C78" t="s">
        <v>37</v>
      </c>
      <c r="D78" t="s">
        <v>42</v>
      </c>
      <c r="E78" t="s">
        <v>43</v>
      </c>
      <c r="F78" s="2">
        <v>3898.37</v>
      </c>
      <c r="G78" s="3">
        <v>15</v>
      </c>
      <c r="H78" s="3">
        <v>36</v>
      </c>
      <c r="I78" s="3">
        <v>2</v>
      </c>
      <c r="J78" s="3">
        <v>23</v>
      </c>
      <c r="K78" s="3">
        <v>177</v>
      </c>
      <c r="L78" t="s">
        <v>22</v>
      </c>
      <c r="M78" s="3">
        <v>3</v>
      </c>
      <c r="N78" t="s">
        <v>22</v>
      </c>
      <c r="O78" t="s">
        <v>22</v>
      </c>
      <c r="P78" t="s">
        <v>24</v>
      </c>
      <c r="Q78" t="s">
        <v>22</v>
      </c>
    </row>
    <row r="79" spans="1:17">
      <c r="A79" t="s">
        <v>126</v>
      </c>
      <c r="B79" t="s">
        <v>30</v>
      </c>
      <c r="C79" t="s">
        <v>19</v>
      </c>
      <c r="D79" t="s">
        <v>47</v>
      </c>
      <c r="E79" t="s">
        <v>60</v>
      </c>
      <c r="F79" s="2">
        <v>11614.46</v>
      </c>
      <c r="G79" s="3">
        <v>15</v>
      </c>
      <c r="H79" s="3">
        <v>30</v>
      </c>
      <c r="I79" s="3">
        <v>0</v>
      </c>
      <c r="J79" s="3">
        <v>17</v>
      </c>
      <c r="K79" s="3">
        <v>30</v>
      </c>
      <c r="L79" t="s">
        <v>22</v>
      </c>
      <c r="M79" s="3">
        <v>0</v>
      </c>
      <c r="N79" t="s">
        <v>22</v>
      </c>
      <c r="O79" t="s">
        <v>23</v>
      </c>
      <c r="P79" t="s">
        <v>35</v>
      </c>
      <c r="Q79" t="s">
        <v>22</v>
      </c>
    </row>
    <row r="80" spans="1:17">
      <c r="A80" t="s">
        <v>127</v>
      </c>
      <c r="B80" t="s">
        <v>18</v>
      </c>
      <c r="C80" t="s">
        <v>37</v>
      </c>
      <c r="D80" t="s">
        <v>47</v>
      </c>
      <c r="E80" t="s">
        <v>50</v>
      </c>
      <c r="F80" s="2">
        <v>7300.99</v>
      </c>
      <c r="G80" s="3">
        <v>45</v>
      </c>
      <c r="H80" s="3">
        <v>28</v>
      </c>
      <c r="I80" s="3">
        <v>0</v>
      </c>
      <c r="J80" s="3">
        <v>38</v>
      </c>
      <c r="K80" s="3">
        <v>165</v>
      </c>
      <c r="L80" t="s">
        <v>22</v>
      </c>
      <c r="M80" s="3">
        <v>1</v>
      </c>
      <c r="N80" t="s">
        <v>22</v>
      </c>
      <c r="O80" t="s">
        <v>22</v>
      </c>
      <c r="P80" t="s">
        <v>35</v>
      </c>
      <c r="Q80" t="s">
        <v>23</v>
      </c>
    </row>
    <row r="81" spans="1:17">
      <c r="A81" t="s">
        <v>128</v>
      </c>
      <c r="B81" t="s">
        <v>30</v>
      </c>
      <c r="C81" t="s">
        <v>19</v>
      </c>
      <c r="D81" t="s">
        <v>66</v>
      </c>
      <c r="E81" t="s">
        <v>34</v>
      </c>
      <c r="F81" s="2">
        <v>25743.34</v>
      </c>
      <c r="G81" s="3">
        <v>45</v>
      </c>
      <c r="H81" s="3">
        <v>38</v>
      </c>
      <c r="I81" s="3">
        <v>1</v>
      </c>
      <c r="J81" s="3">
        <v>45</v>
      </c>
      <c r="K81" s="3">
        <v>122</v>
      </c>
      <c r="L81" t="s">
        <v>23</v>
      </c>
      <c r="M81" s="3">
        <v>2</v>
      </c>
      <c r="N81" t="s">
        <v>23</v>
      </c>
      <c r="O81" t="s">
        <v>22</v>
      </c>
      <c r="P81" t="s">
        <v>35</v>
      </c>
      <c r="Q81" t="s">
        <v>23</v>
      </c>
    </row>
    <row r="82" spans="1:17">
      <c r="A82" t="s">
        <v>129</v>
      </c>
      <c r="B82" t="s">
        <v>30</v>
      </c>
      <c r="C82" t="s">
        <v>19</v>
      </c>
      <c r="D82" t="s">
        <v>47</v>
      </c>
      <c r="E82" t="s">
        <v>40</v>
      </c>
      <c r="F82" s="2">
        <v>24279.78</v>
      </c>
      <c r="G82" s="3">
        <v>60</v>
      </c>
      <c r="H82" s="3">
        <v>62</v>
      </c>
      <c r="I82" s="3">
        <v>2</v>
      </c>
      <c r="J82" s="3">
        <v>65</v>
      </c>
      <c r="K82" s="3">
        <v>14</v>
      </c>
      <c r="L82" t="s">
        <v>22</v>
      </c>
      <c r="M82" s="3">
        <v>1</v>
      </c>
      <c r="N82" t="s">
        <v>23</v>
      </c>
      <c r="O82" t="s">
        <v>22</v>
      </c>
      <c r="P82" t="s">
        <v>24</v>
      </c>
      <c r="Q82" t="s">
        <v>23</v>
      </c>
    </row>
    <row r="83" spans="1:17">
      <c r="A83" t="s">
        <v>130</v>
      </c>
      <c r="B83" t="s">
        <v>46</v>
      </c>
      <c r="C83" t="s">
        <v>55</v>
      </c>
      <c r="D83" t="s">
        <v>66</v>
      </c>
      <c r="E83" t="s">
        <v>48</v>
      </c>
      <c r="F83" s="2">
        <v>43124.43</v>
      </c>
      <c r="G83" s="3">
        <v>45</v>
      </c>
      <c r="H83" s="3">
        <v>42</v>
      </c>
      <c r="I83" s="3">
        <v>0</v>
      </c>
      <c r="J83" s="3">
        <v>58</v>
      </c>
      <c r="K83" s="3">
        <v>171</v>
      </c>
      <c r="L83" t="s">
        <v>22</v>
      </c>
      <c r="M83" s="3">
        <v>0</v>
      </c>
      <c r="N83" t="s">
        <v>23</v>
      </c>
      <c r="O83" t="s">
        <v>22</v>
      </c>
      <c r="P83" t="s">
        <v>28</v>
      </c>
      <c r="Q83" t="s">
        <v>23</v>
      </c>
    </row>
    <row r="84" spans="1:17">
      <c r="A84" t="s">
        <v>131</v>
      </c>
      <c r="B84" t="s">
        <v>18</v>
      </c>
      <c r="C84" t="s">
        <v>37</v>
      </c>
      <c r="D84" t="s">
        <v>66</v>
      </c>
      <c r="E84" t="s">
        <v>103</v>
      </c>
      <c r="F84" s="2">
        <v>4878.09</v>
      </c>
      <c r="G84" s="3">
        <v>30</v>
      </c>
      <c r="H84" s="3">
        <v>39</v>
      </c>
      <c r="I84" s="3">
        <v>0</v>
      </c>
      <c r="J84" s="3">
        <v>33</v>
      </c>
      <c r="K84" s="3">
        <v>23</v>
      </c>
      <c r="L84" t="s">
        <v>22</v>
      </c>
      <c r="M84" s="3">
        <v>1</v>
      </c>
      <c r="N84" t="s">
        <v>23</v>
      </c>
      <c r="O84" t="s">
        <v>22</v>
      </c>
      <c r="P84" t="s">
        <v>28</v>
      </c>
      <c r="Q84" t="s">
        <v>22</v>
      </c>
    </row>
    <row r="85" spans="1:17">
      <c r="A85" t="s">
        <v>132</v>
      </c>
      <c r="B85" t="s">
        <v>30</v>
      </c>
      <c r="C85" t="s">
        <v>37</v>
      </c>
      <c r="D85" t="s">
        <v>66</v>
      </c>
      <c r="E85" t="s">
        <v>50</v>
      </c>
      <c r="F85" s="2">
        <v>22099.78</v>
      </c>
      <c r="G85" s="3">
        <v>30</v>
      </c>
      <c r="H85" s="3">
        <v>83</v>
      </c>
      <c r="I85" s="3">
        <v>0</v>
      </c>
      <c r="J85" s="3">
        <v>36</v>
      </c>
      <c r="K85" s="3">
        <v>65</v>
      </c>
      <c r="L85" t="s">
        <v>22</v>
      </c>
      <c r="M85" s="3">
        <v>0</v>
      </c>
      <c r="N85" t="s">
        <v>23</v>
      </c>
      <c r="O85" t="s">
        <v>22</v>
      </c>
      <c r="P85" t="s">
        <v>28</v>
      </c>
      <c r="Q85" t="s">
        <v>22</v>
      </c>
    </row>
    <row r="86" spans="1:17">
      <c r="A86" t="s">
        <v>133</v>
      </c>
      <c r="B86" t="s">
        <v>18</v>
      </c>
      <c r="C86" t="s">
        <v>55</v>
      </c>
      <c r="D86" t="s">
        <v>42</v>
      </c>
      <c r="E86" t="s">
        <v>21</v>
      </c>
      <c r="F86" s="2">
        <v>7400.75</v>
      </c>
      <c r="G86" s="3">
        <v>45</v>
      </c>
      <c r="H86" s="3">
        <v>25</v>
      </c>
      <c r="I86" s="3">
        <v>0</v>
      </c>
      <c r="J86" s="3">
        <v>52</v>
      </c>
      <c r="K86" s="3">
        <v>32</v>
      </c>
      <c r="L86" t="s">
        <v>22</v>
      </c>
      <c r="M86" s="3">
        <v>0</v>
      </c>
      <c r="N86" t="s">
        <v>22</v>
      </c>
      <c r="O86" t="s">
        <v>22</v>
      </c>
      <c r="P86" t="s">
        <v>35</v>
      </c>
      <c r="Q86" t="s">
        <v>22</v>
      </c>
    </row>
    <row r="87" spans="1:17">
      <c r="A87" t="s">
        <v>134</v>
      </c>
      <c r="B87" t="s">
        <v>18</v>
      </c>
      <c r="C87" t="s">
        <v>52</v>
      </c>
      <c r="D87" t="s">
        <v>27</v>
      </c>
      <c r="E87" t="s">
        <v>40</v>
      </c>
      <c r="F87" s="2">
        <v>811.47</v>
      </c>
      <c r="G87" s="3">
        <v>60</v>
      </c>
      <c r="H87" s="3">
        <v>15</v>
      </c>
      <c r="I87" s="3">
        <v>8</v>
      </c>
      <c r="J87" s="3">
        <v>97</v>
      </c>
      <c r="K87" s="3">
        <v>176</v>
      </c>
      <c r="L87" t="s">
        <v>22</v>
      </c>
      <c r="M87" s="3">
        <v>6</v>
      </c>
      <c r="N87" t="s">
        <v>23</v>
      </c>
      <c r="O87" t="s">
        <v>23</v>
      </c>
      <c r="P87" t="s">
        <v>24</v>
      </c>
      <c r="Q87" t="s">
        <v>23</v>
      </c>
    </row>
    <row r="88" spans="1:17">
      <c r="A88" t="s">
        <v>135</v>
      </c>
      <c r="B88" t="s">
        <v>46</v>
      </c>
      <c r="C88" t="s">
        <v>31</v>
      </c>
      <c r="D88" t="s">
        <v>20</v>
      </c>
      <c r="E88" t="s">
        <v>48</v>
      </c>
      <c r="F88" s="2">
        <v>45462.39</v>
      </c>
      <c r="G88" s="3">
        <v>15</v>
      </c>
      <c r="H88" s="3">
        <v>22</v>
      </c>
      <c r="I88" s="3">
        <v>0</v>
      </c>
      <c r="J88" s="3">
        <v>17</v>
      </c>
      <c r="K88" s="3">
        <v>51</v>
      </c>
      <c r="L88" t="s">
        <v>22</v>
      </c>
      <c r="M88" s="3">
        <v>0</v>
      </c>
      <c r="N88" t="s">
        <v>23</v>
      </c>
      <c r="O88" t="s">
        <v>22</v>
      </c>
      <c r="P88" t="s">
        <v>24</v>
      </c>
      <c r="Q88" t="s">
        <v>23</v>
      </c>
    </row>
    <row r="89" spans="1:17">
      <c r="A89" t="s">
        <v>136</v>
      </c>
      <c r="B89" t="s">
        <v>18</v>
      </c>
      <c r="C89" t="s">
        <v>26</v>
      </c>
      <c r="D89" t="s">
        <v>42</v>
      </c>
      <c r="E89" t="s">
        <v>103</v>
      </c>
      <c r="F89" s="2">
        <v>6671.67</v>
      </c>
      <c r="G89" s="3">
        <v>30</v>
      </c>
      <c r="H89" s="3">
        <v>19</v>
      </c>
      <c r="I89" s="3">
        <v>2</v>
      </c>
      <c r="J89" s="3">
        <v>39</v>
      </c>
      <c r="K89" s="3">
        <v>123</v>
      </c>
      <c r="L89" t="s">
        <v>23</v>
      </c>
      <c r="M89" s="3">
        <v>3</v>
      </c>
      <c r="N89" t="s">
        <v>22</v>
      </c>
      <c r="O89" t="s">
        <v>22</v>
      </c>
      <c r="P89" t="s">
        <v>24</v>
      </c>
      <c r="Q89" t="s">
        <v>23</v>
      </c>
    </row>
    <row r="90" spans="1:17">
      <c r="A90" t="s">
        <v>137</v>
      </c>
      <c r="B90" t="s">
        <v>18</v>
      </c>
      <c r="C90" t="s">
        <v>37</v>
      </c>
      <c r="D90" t="s">
        <v>66</v>
      </c>
      <c r="E90" t="s">
        <v>103</v>
      </c>
      <c r="F90" s="2">
        <v>1277.8</v>
      </c>
      <c r="G90" s="3">
        <v>15</v>
      </c>
      <c r="H90" s="3">
        <v>3</v>
      </c>
      <c r="I90" s="3">
        <v>0</v>
      </c>
      <c r="J90" s="3">
        <v>24</v>
      </c>
      <c r="K90" s="3">
        <v>129</v>
      </c>
      <c r="L90" t="s">
        <v>22</v>
      </c>
      <c r="M90" s="3">
        <v>2</v>
      </c>
      <c r="N90" t="s">
        <v>22</v>
      </c>
      <c r="O90" t="s">
        <v>23</v>
      </c>
      <c r="P90" t="s">
        <v>24</v>
      </c>
      <c r="Q90" t="s">
        <v>22</v>
      </c>
    </row>
    <row r="91" spans="1:17">
      <c r="A91" t="s">
        <v>138</v>
      </c>
      <c r="B91" t="s">
        <v>30</v>
      </c>
      <c r="C91" t="s">
        <v>31</v>
      </c>
      <c r="D91" t="s">
        <v>42</v>
      </c>
      <c r="E91" t="s">
        <v>34</v>
      </c>
      <c r="F91" s="2">
        <v>24539.759999999998</v>
      </c>
      <c r="G91" s="3">
        <v>45</v>
      </c>
      <c r="H91" s="3">
        <v>26</v>
      </c>
      <c r="I91" s="3">
        <v>0</v>
      </c>
      <c r="J91" s="3">
        <v>60</v>
      </c>
      <c r="K91" s="3">
        <v>22</v>
      </c>
      <c r="L91" t="s">
        <v>22</v>
      </c>
      <c r="M91" s="3">
        <v>0</v>
      </c>
      <c r="N91" t="s">
        <v>22</v>
      </c>
      <c r="O91" t="s">
        <v>22</v>
      </c>
      <c r="P91" t="s">
        <v>28</v>
      </c>
      <c r="Q91" t="s">
        <v>22</v>
      </c>
    </row>
    <row r="92" spans="1:17">
      <c r="A92" t="s">
        <v>139</v>
      </c>
      <c r="B92" t="s">
        <v>30</v>
      </c>
      <c r="C92" t="s">
        <v>31</v>
      </c>
      <c r="D92" t="s">
        <v>38</v>
      </c>
      <c r="E92" t="s">
        <v>34</v>
      </c>
      <c r="F92" s="2">
        <v>20075.8</v>
      </c>
      <c r="G92" s="3">
        <v>15</v>
      </c>
      <c r="H92" s="3">
        <v>10</v>
      </c>
      <c r="I92" s="3">
        <v>0</v>
      </c>
      <c r="J92" s="3">
        <v>19</v>
      </c>
      <c r="K92" s="3">
        <v>61</v>
      </c>
      <c r="L92" t="s">
        <v>22</v>
      </c>
      <c r="M92" s="3">
        <v>2</v>
      </c>
      <c r="N92" t="s">
        <v>23</v>
      </c>
      <c r="O92" t="s">
        <v>22</v>
      </c>
      <c r="P92" t="s">
        <v>24</v>
      </c>
      <c r="Q92" t="s">
        <v>22</v>
      </c>
    </row>
    <row r="93" spans="1:17">
      <c r="A93" t="s">
        <v>140</v>
      </c>
      <c r="B93" t="s">
        <v>46</v>
      </c>
      <c r="C93" t="s">
        <v>52</v>
      </c>
      <c r="D93" t="s">
        <v>47</v>
      </c>
      <c r="E93" t="s">
        <v>34</v>
      </c>
      <c r="F93" s="2">
        <v>80546.45</v>
      </c>
      <c r="G93" s="3">
        <v>15</v>
      </c>
      <c r="H93" s="3">
        <v>39</v>
      </c>
      <c r="I93" s="3">
        <v>0</v>
      </c>
      <c r="J93" s="3">
        <v>18</v>
      </c>
      <c r="K93" s="3">
        <v>144</v>
      </c>
      <c r="L93" t="s">
        <v>23</v>
      </c>
      <c r="M93" s="3">
        <v>3</v>
      </c>
      <c r="N93" t="s">
        <v>23</v>
      </c>
      <c r="O93" t="s">
        <v>22</v>
      </c>
      <c r="P93" t="s">
        <v>24</v>
      </c>
      <c r="Q93" t="s">
        <v>23</v>
      </c>
    </row>
    <row r="94" spans="1:17">
      <c r="A94" t="s">
        <v>141</v>
      </c>
      <c r="B94" t="s">
        <v>18</v>
      </c>
      <c r="C94" t="s">
        <v>26</v>
      </c>
      <c r="D94" t="s">
        <v>20</v>
      </c>
      <c r="E94" t="s">
        <v>53</v>
      </c>
      <c r="F94" s="2">
        <v>2936.99</v>
      </c>
      <c r="G94" s="3">
        <v>45</v>
      </c>
      <c r="H94" s="3">
        <v>44</v>
      </c>
      <c r="I94" s="3">
        <v>1</v>
      </c>
      <c r="J94" s="3">
        <v>48</v>
      </c>
      <c r="K94" s="3">
        <v>174</v>
      </c>
      <c r="L94" t="s">
        <v>22</v>
      </c>
      <c r="M94" s="3">
        <v>1</v>
      </c>
      <c r="N94" t="s">
        <v>23</v>
      </c>
      <c r="O94" t="s">
        <v>22</v>
      </c>
      <c r="P94" t="s">
        <v>28</v>
      </c>
      <c r="Q94" t="s">
        <v>22</v>
      </c>
    </row>
    <row r="95" spans="1:17">
      <c r="A95" t="s">
        <v>142</v>
      </c>
      <c r="B95" t="s">
        <v>30</v>
      </c>
      <c r="C95" t="s">
        <v>31</v>
      </c>
      <c r="D95" t="s">
        <v>27</v>
      </c>
      <c r="E95" t="s">
        <v>40</v>
      </c>
      <c r="F95" s="2">
        <v>22996.36</v>
      </c>
      <c r="G95" s="3">
        <v>45</v>
      </c>
      <c r="H95" s="3">
        <v>15</v>
      </c>
      <c r="I95" s="3">
        <v>1</v>
      </c>
      <c r="J95" s="3">
        <v>70</v>
      </c>
      <c r="K95" s="3">
        <v>112</v>
      </c>
      <c r="L95" t="s">
        <v>22</v>
      </c>
      <c r="M95" s="3">
        <v>0</v>
      </c>
      <c r="N95" t="s">
        <v>23</v>
      </c>
      <c r="O95" t="s">
        <v>23</v>
      </c>
      <c r="P95" t="s">
        <v>24</v>
      </c>
      <c r="Q95" t="s">
        <v>23</v>
      </c>
    </row>
    <row r="96" spans="1:17">
      <c r="A96" t="s">
        <v>143</v>
      </c>
      <c r="B96" t="s">
        <v>18</v>
      </c>
      <c r="C96" t="s">
        <v>31</v>
      </c>
      <c r="D96" t="s">
        <v>27</v>
      </c>
      <c r="E96" t="s">
        <v>32</v>
      </c>
      <c r="F96" s="2">
        <v>1738.22</v>
      </c>
      <c r="G96" s="3">
        <v>15</v>
      </c>
      <c r="H96" s="3">
        <v>29</v>
      </c>
      <c r="I96" s="3">
        <v>3</v>
      </c>
      <c r="J96" s="3">
        <v>30</v>
      </c>
      <c r="K96" s="3">
        <v>174</v>
      </c>
      <c r="L96" t="s">
        <v>22</v>
      </c>
      <c r="M96" s="3">
        <v>1</v>
      </c>
      <c r="N96" t="s">
        <v>23</v>
      </c>
      <c r="O96" t="s">
        <v>22</v>
      </c>
      <c r="P96" t="s">
        <v>35</v>
      </c>
      <c r="Q96" t="s">
        <v>23</v>
      </c>
    </row>
    <row r="97" spans="1:17">
      <c r="A97" t="s">
        <v>144</v>
      </c>
      <c r="B97" t="s">
        <v>30</v>
      </c>
      <c r="C97" t="s">
        <v>52</v>
      </c>
      <c r="D97" t="s">
        <v>38</v>
      </c>
      <c r="E97" t="s">
        <v>53</v>
      </c>
      <c r="F97" s="2">
        <v>28463.87</v>
      </c>
      <c r="G97" s="3">
        <v>30</v>
      </c>
      <c r="H97" s="3">
        <v>23</v>
      </c>
      <c r="I97" s="3">
        <v>2</v>
      </c>
      <c r="J97" s="3">
        <v>50</v>
      </c>
      <c r="K97" s="3">
        <v>158</v>
      </c>
      <c r="L97" t="s">
        <v>23</v>
      </c>
      <c r="M97" s="3">
        <v>6</v>
      </c>
      <c r="N97" t="s">
        <v>23</v>
      </c>
      <c r="O97" t="s">
        <v>22</v>
      </c>
      <c r="P97" t="s">
        <v>24</v>
      </c>
      <c r="Q97" t="s">
        <v>23</v>
      </c>
    </row>
    <row r="98" spans="1:17">
      <c r="A98" t="s">
        <v>145</v>
      </c>
      <c r="B98" t="s">
        <v>30</v>
      </c>
      <c r="C98" t="s">
        <v>37</v>
      </c>
      <c r="D98" t="s">
        <v>20</v>
      </c>
      <c r="E98" t="s">
        <v>58</v>
      </c>
      <c r="F98" s="2">
        <v>15709.89</v>
      </c>
      <c r="G98" s="3">
        <v>30</v>
      </c>
      <c r="H98" s="3">
        <v>35</v>
      </c>
      <c r="I98" s="3">
        <v>0</v>
      </c>
      <c r="J98" s="3">
        <v>40</v>
      </c>
      <c r="K98" s="3">
        <v>69</v>
      </c>
      <c r="L98" t="s">
        <v>22</v>
      </c>
      <c r="M98" s="3">
        <v>2</v>
      </c>
      <c r="N98" t="s">
        <v>22</v>
      </c>
      <c r="O98" t="s">
        <v>23</v>
      </c>
      <c r="P98" t="s">
        <v>35</v>
      </c>
      <c r="Q98" t="s">
        <v>22</v>
      </c>
    </row>
    <row r="99" spans="1:17">
      <c r="A99" t="s">
        <v>146</v>
      </c>
      <c r="B99" t="s">
        <v>30</v>
      </c>
      <c r="C99" t="s">
        <v>55</v>
      </c>
      <c r="D99" t="s">
        <v>66</v>
      </c>
      <c r="E99" t="s">
        <v>53</v>
      </c>
      <c r="F99" s="2">
        <v>12612.6</v>
      </c>
      <c r="G99" s="3">
        <v>30</v>
      </c>
      <c r="H99" s="3">
        <v>16</v>
      </c>
      <c r="I99" s="3">
        <v>0</v>
      </c>
      <c r="J99" s="3">
        <v>28</v>
      </c>
      <c r="K99" s="3">
        <v>101</v>
      </c>
      <c r="L99" t="s">
        <v>23</v>
      </c>
      <c r="M99" s="3">
        <v>3</v>
      </c>
      <c r="N99" t="s">
        <v>22</v>
      </c>
      <c r="O99" t="s">
        <v>22</v>
      </c>
      <c r="P99" t="s">
        <v>28</v>
      </c>
      <c r="Q99" t="s">
        <v>22</v>
      </c>
    </row>
    <row r="100" spans="1:17">
      <c r="A100" t="s">
        <v>147</v>
      </c>
      <c r="B100" t="s">
        <v>18</v>
      </c>
      <c r="C100" t="s">
        <v>55</v>
      </c>
      <c r="D100" t="s">
        <v>27</v>
      </c>
      <c r="E100" t="s">
        <v>58</v>
      </c>
      <c r="F100" s="2">
        <v>4490.1099999999997</v>
      </c>
      <c r="G100" s="3">
        <v>30</v>
      </c>
      <c r="H100" s="3">
        <v>43</v>
      </c>
      <c r="I100" s="3">
        <v>3</v>
      </c>
      <c r="J100" s="3">
        <v>54</v>
      </c>
      <c r="K100" s="3">
        <v>67</v>
      </c>
      <c r="L100" t="s">
        <v>22</v>
      </c>
      <c r="M100" s="3">
        <v>2</v>
      </c>
      <c r="N100" t="s">
        <v>22</v>
      </c>
      <c r="O100" t="s">
        <v>22</v>
      </c>
      <c r="P100" t="s">
        <v>24</v>
      </c>
      <c r="Q100" t="s">
        <v>23</v>
      </c>
    </row>
    <row r="101" spans="1:17">
      <c r="A101" t="s">
        <v>148</v>
      </c>
      <c r="B101" t="s">
        <v>18</v>
      </c>
      <c r="C101" t="s">
        <v>55</v>
      </c>
      <c r="D101" t="s">
        <v>47</v>
      </c>
      <c r="E101" t="s">
        <v>48</v>
      </c>
      <c r="F101" s="2">
        <v>1929.09</v>
      </c>
      <c r="G101" s="3">
        <v>30</v>
      </c>
      <c r="H101" s="3">
        <v>42</v>
      </c>
      <c r="I101" s="3">
        <v>1</v>
      </c>
      <c r="J101" s="3">
        <v>40</v>
      </c>
      <c r="K101" s="3">
        <v>136</v>
      </c>
      <c r="L101" t="s">
        <v>22</v>
      </c>
      <c r="M101" s="3">
        <v>0</v>
      </c>
      <c r="N101" t="s">
        <v>23</v>
      </c>
      <c r="O101" t="s">
        <v>22</v>
      </c>
      <c r="P101" t="s">
        <v>24</v>
      </c>
      <c r="Q101" t="s">
        <v>22</v>
      </c>
    </row>
    <row r="102" spans="1:17">
      <c r="A102" t="s">
        <v>149</v>
      </c>
      <c r="B102" t="s">
        <v>30</v>
      </c>
      <c r="C102" t="s">
        <v>26</v>
      </c>
      <c r="D102" t="s">
        <v>38</v>
      </c>
      <c r="E102" t="s">
        <v>21</v>
      </c>
      <c r="F102" s="2">
        <v>30206.560000000001</v>
      </c>
      <c r="G102" s="3">
        <v>30</v>
      </c>
      <c r="H102" s="3">
        <v>38</v>
      </c>
      <c r="I102" s="3">
        <v>1</v>
      </c>
      <c r="J102" s="3">
        <v>43</v>
      </c>
      <c r="K102" s="3">
        <v>77</v>
      </c>
      <c r="L102" t="s">
        <v>22</v>
      </c>
      <c r="M102" s="3">
        <v>0</v>
      </c>
      <c r="N102" t="s">
        <v>23</v>
      </c>
      <c r="O102" t="s">
        <v>22</v>
      </c>
      <c r="P102" t="s">
        <v>28</v>
      </c>
      <c r="Q102" t="s">
        <v>22</v>
      </c>
    </row>
    <row r="103" spans="1:17">
      <c r="A103" t="s">
        <v>150</v>
      </c>
      <c r="B103" t="s">
        <v>30</v>
      </c>
      <c r="C103" t="s">
        <v>31</v>
      </c>
      <c r="D103" t="s">
        <v>27</v>
      </c>
      <c r="E103" t="s">
        <v>21</v>
      </c>
      <c r="F103" s="2">
        <v>16576.259999999998</v>
      </c>
      <c r="G103" s="3">
        <v>30</v>
      </c>
      <c r="H103" s="3">
        <v>52</v>
      </c>
      <c r="I103" s="3">
        <v>1</v>
      </c>
      <c r="J103" s="3">
        <v>36</v>
      </c>
      <c r="K103" s="3">
        <v>117</v>
      </c>
      <c r="L103" t="s">
        <v>22</v>
      </c>
      <c r="M103" s="3">
        <v>0</v>
      </c>
      <c r="N103" t="s">
        <v>22</v>
      </c>
      <c r="O103" t="s">
        <v>22</v>
      </c>
      <c r="P103" t="s">
        <v>28</v>
      </c>
      <c r="Q103" t="s">
        <v>23</v>
      </c>
    </row>
    <row r="104" spans="1:17">
      <c r="A104" t="s">
        <v>151</v>
      </c>
      <c r="B104" t="s">
        <v>46</v>
      </c>
      <c r="C104" t="s">
        <v>52</v>
      </c>
      <c r="D104" t="s">
        <v>38</v>
      </c>
      <c r="E104" t="s">
        <v>50</v>
      </c>
      <c r="F104" s="2">
        <v>38366.089999999997</v>
      </c>
      <c r="G104" s="3">
        <v>30</v>
      </c>
      <c r="H104" s="3">
        <v>73</v>
      </c>
      <c r="I104" s="3">
        <v>1</v>
      </c>
      <c r="J104" s="3">
        <v>36</v>
      </c>
      <c r="K104" s="3">
        <v>76</v>
      </c>
      <c r="L104" t="s">
        <v>22</v>
      </c>
      <c r="M104" s="3">
        <v>1</v>
      </c>
      <c r="N104" t="s">
        <v>23</v>
      </c>
      <c r="O104" t="s">
        <v>23</v>
      </c>
      <c r="P104" t="s">
        <v>24</v>
      </c>
      <c r="Q104" t="s">
        <v>22</v>
      </c>
    </row>
    <row r="105" spans="1:17">
      <c r="A105" t="s">
        <v>152</v>
      </c>
      <c r="B105" t="s">
        <v>30</v>
      </c>
      <c r="C105" t="s">
        <v>31</v>
      </c>
      <c r="D105" t="s">
        <v>27</v>
      </c>
      <c r="E105" t="s">
        <v>40</v>
      </c>
      <c r="F105" s="2">
        <v>8059.13</v>
      </c>
      <c r="G105" s="3">
        <v>15</v>
      </c>
      <c r="H105" s="3">
        <v>21</v>
      </c>
      <c r="I105" s="3">
        <v>5</v>
      </c>
      <c r="J105" s="3">
        <v>26</v>
      </c>
      <c r="K105" s="3">
        <v>22</v>
      </c>
      <c r="L105" t="s">
        <v>22</v>
      </c>
      <c r="M105" s="3">
        <v>3</v>
      </c>
      <c r="N105" t="s">
        <v>22</v>
      </c>
      <c r="O105" t="s">
        <v>22</v>
      </c>
      <c r="P105" t="s">
        <v>24</v>
      </c>
      <c r="Q105" t="s">
        <v>23</v>
      </c>
    </row>
    <row r="106" spans="1:17">
      <c r="A106" t="s">
        <v>153</v>
      </c>
      <c r="B106" t="s">
        <v>46</v>
      </c>
      <c r="C106" t="s">
        <v>52</v>
      </c>
      <c r="D106" t="s">
        <v>47</v>
      </c>
      <c r="E106" t="s">
        <v>58</v>
      </c>
      <c r="F106" s="2">
        <v>79361.02</v>
      </c>
      <c r="G106" s="3">
        <v>45</v>
      </c>
      <c r="H106" s="3">
        <v>13</v>
      </c>
      <c r="I106" s="3">
        <v>1</v>
      </c>
      <c r="J106" s="3">
        <v>62</v>
      </c>
      <c r="K106" s="3">
        <v>73</v>
      </c>
      <c r="L106" t="s">
        <v>22</v>
      </c>
      <c r="M106" s="3">
        <v>3</v>
      </c>
      <c r="N106" t="s">
        <v>23</v>
      </c>
      <c r="O106" t="s">
        <v>22</v>
      </c>
      <c r="P106" t="s">
        <v>24</v>
      </c>
      <c r="Q106" t="s">
        <v>23</v>
      </c>
    </row>
    <row r="107" spans="1:17">
      <c r="A107" t="s">
        <v>154</v>
      </c>
      <c r="B107" t="s">
        <v>46</v>
      </c>
      <c r="C107" t="s">
        <v>31</v>
      </c>
      <c r="D107" t="s">
        <v>20</v>
      </c>
      <c r="E107" t="s">
        <v>48</v>
      </c>
      <c r="F107" s="2">
        <v>71080.19</v>
      </c>
      <c r="G107" s="3">
        <v>15</v>
      </c>
      <c r="H107" s="3">
        <v>21</v>
      </c>
      <c r="I107" s="3">
        <v>0</v>
      </c>
      <c r="J107" s="3">
        <v>25</v>
      </c>
      <c r="K107" s="3">
        <v>95</v>
      </c>
      <c r="L107" t="s">
        <v>22</v>
      </c>
      <c r="M107" s="3">
        <v>1</v>
      </c>
      <c r="N107" t="s">
        <v>23</v>
      </c>
      <c r="O107" t="s">
        <v>22</v>
      </c>
      <c r="P107" t="s">
        <v>24</v>
      </c>
      <c r="Q107" t="s">
        <v>22</v>
      </c>
    </row>
    <row r="108" spans="1:17">
      <c r="A108" t="s">
        <v>155</v>
      </c>
      <c r="B108" t="s">
        <v>18</v>
      </c>
      <c r="C108" t="s">
        <v>31</v>
      </c>
      <c r="D108" t="s">
        <v>66</v>
      </c>
      <c r="E108" t="s">
        <v>48</v>
      </c>
      <c r="F108" s="2">
        <v>7042.19</v>
      </c>
      <c r="G108" s="3">
        <v>45</v>
      </c>
      <c r="H108" s="3">
        <v>23</v>
      </c>
      <c r="I108" s="3">
        <v>5</v>
      </c>
      <c r="J108" s="3">
        <v>58</v>
      </c>
      <c r="K108" s="3">
        <v>53</v>
      </c>
      <c r="L108" t="s">
        <v>22</v>
      </c>
      <c r="M108" s="3">
        <v>4</v>
      </c>
      <c r="N108" t="s">
        <v>23</v>
      </c>
      <c r="O108" t="s">
        <v>22</v>
      </c>
      <c r="P108" t="s">
        <v>24</v>
      </c>
      <c r="Q108" t="s">
        <v>23</v>
      </c>
    </row>
    <row r="109" spans="1:17">
      <c r="A109" t="s">
        <v>156</v>
      </c>
      <c r="B109" t="s">
        <v>30</v>
      </c>
      <c r="C109" t="s">
        <v>31</v>
      </c>
      <c r="D109" t="s">
        <v>27</v>
      </c>
      <c r="E109" t="s">
        <v>40</v>
      </c>
      <c r="F109" s="2">
        <v>7698.15</v>
      </c>
      <c r="G109" s="3">
        <v>30</v>
      </c>
      <c r="H109" s="3">
        <v>62</v>
      </c>
      <c r="I109" s="3">
        <v>0</v>
      </c>
      <c r="J109" s="3">
        <v>31</v>
      </c>
      <c r="K109" s="3">
        <v>13</v>
      </c>
      <c r="L109" t="s">
        <v>22</v>
      </c>
      <c r="M109" s="3">
        <v>0</v>
      </c>
      <c r="N109" t="s">
        <v>23</v>
      </c>
      <c r="O109" t="s">
        <v>22</v>
      </c>
      <c r="P109" t="s">
        <v>28</v>
      </c>
      <c r="Q109" t="s">
        <v>22</v>
      </c>
    </row>
    <row r="110" spans="1:17">
      <c r="A110" t="s">
        <v>157</v>
      </c>
      <c r="B110" t="s">
        <v>30</v>
      </c>
      <c r="C110" t="s">
        <v>52</v>
      </c>
      <c r="D110" t="s">
        <v>38</v>
      </c>
      <c r="E110" t="s">
        <v>21</v>
      </c>
      <c r="F110" s="2">
        <v>4499.51</v>
      </c>
      <c r="G110" s="3">
        <v>15</v>
      </c>
      <c r="H110" s="3">
        <v>78</v>
      </c>
      <c r="I110" s="3">
        <v>3</v>
      </c>
      <c r="J110" s="3">
        <v>25</v>
      </c>
      <c r="K110" s="3">
        <v>105</v>
      </c>
      <c r="L110" t="s">
        <v>22</v>
      </c>
      <c r="M110" s="3">
        <v>2</v>
      </c>
      <c r="N110" t="s">
        <v>23</v>
      </c>
      <c r="O110" t="s">
        <v>22</v>
      </c>
      <c r="P110" t="s">
        <v>28</v>
      </c>
      <c r="Q110" t="s">
        <v>23</v>
      </c>
    </row>
    <row r="111" spans="1:17">
      <c r="A111" t="s">
        <v>158</v>
      </c>
      <c r="B111" t="s">
        <v>30</v>
      </c>
      <c r="C111" t="s">
        <v>55</v>
      </c>
      <c r="D111" t="s">
        <v>66</v>
      </c>
      <c r="E111" t="s">
        <v>34</v>
      </c>
      <c r="F111" s="2">
        <v>25995.24</v>
      </c>
      <c r="G111" s="3">
        <v>30</v>
      </c>
      <c r="H111" s="3">
        <v>82</v>
      </c>
      <c r="I111" s="3">
        <v>1</v>
      </c>
      <c r="J111" s="3">
        <v>37</v>
      </c>
      <c r="K111" s="3">
        <v>160</v>
      </c>
      <c r="L111" t="s">
        <v>22</v>
      </c>
      <c r="M111" s="3">
        <v>2</v>
      </c>
      <c r="N111" t="s">
        <v>22</v>
      </c>
      <c r="O111" t="s">
        <v>22</v>
      </c>
      <c r="P111" t="s">
        <v>28</v>
      </c>
      <c r="Q111" t="s">
        <v>23</v>
      </c>
    </row>
    <row r="112" spans="1:17">
      <c r="A112" t="s">
        <v>159</v>
      </c>
      <c r="B112" t="s">
        <v>46</v>
      </c>
      <c r="C112" t="s">
        <v>31</v>
      </c>
      <c r="D112" t="s">
        <v>27</v>
      </c>
      <c r="E112" t="s">
        <v>21</v>
      </c>
      <c r="F112" s="2">
        <v>62809.38</v>
      </c>
      <c r="G112" s="3">
        <v>30</v>
      </c>
      <c r="H112" s="3">
        <v>95</v>
      </c>
      <c r="I112" s="3">
        <v>1</v>
      </c>
      <c r="J112" s="3">
        <v>47</v>
      </c>
      <c r="K112" s="3">
        <v>44</v>
      </c>
      <c r="L112" t="s">
        <v>22</v>
      </c>
      <c r="M112" s="3">
        <v>3</v>
      </c>
      <c r="N112" t="s">
        <v>23</v>
      </c>
      <c r="O112" t="s">
        <v>22</v>
      </c>
      <c r="P112" t="s">
        <v>24</v>
      </c>
      <c r="Q112" t="s">
        <v>23</v>
      </c>
    </row>
    <row r="113" spans="1:17">
      <c r="A113" t="s">
        <v>160</v>
      </c>
      <c r="B113" t="s">
        <v>18</v>
      </c>
      <c r="C113" t="s">
        <v>19</v>
      </c>
      <c r="D113" t="s">
        <v>20</v>
      </c>
      <c r="E113" t="s">
        <v>43</v>
      </c>
      <c r="F113" s="2">
        <v>6220.76</v>
      </c>
      <c r="G113" s="3">
        <v>30</v>
      </c>
      <c r="H113" s="3">
        <v>29</v>
      </c>
      <c r="I113" s="3">
        <v>0</v>
      </c>
      <c r="J113" s="3">
        <v>38</v>
      </c>
      <c r="K113" s="3">
        <v>141</v>
      </c>
      <c r="L113" t="s">
        <v>23</v>
      </c>
      <c r="M113" s="3">
        <v>2</v>
      </c>
      <c r="N113" t="s">
        <v>23</v>
      </c>
      <c r="O113" t="s">
        <v>22</v>
      </c>
      <c r="P113" t="s">
        <v>24</v>
      </c>
      <c r="Q113" t="s">
        <v>22</v>
      </c>
    </row>
    <row r="114" spans="1:17">
      <c r="A114" t="s">
        <v>161</v>
      </c>
      <c r="B114" t="s">
        <v>18</v>
      </c>
      <c r="C114" t="s">
        <v>19</v>
      </c>
      <c r="D114" t="s">
        <v>42</v>
      </c>
      <c r="E114" t="s">
        <v>50</v>
      </c>
      <c r="F114" s="2">
        <v>1889.88</v>
      </c>
      <c r="G114" s="3">
        <v>30</v>
      </c>
      <c r="H114" s="3">
        <v>11</v>
      </c>
      <c r="I114" s="3">
        <v>0</v>
      </c>
      <c r="J114" s="3">
        <v>26</v>
      </c>
      <c r="K114" s="3">
        <v>58</v>
      </c>
      <c r="L114" t="s">
        <v>22</v>
      </c>
      <c r="M114" s="3">
        <v>1</v>
      </c>
      <c r="N114" t="s">
        <v>22</v>
      </c>
      <c r="O114" t="s">
        <v>23</v>
      </c>
      <c r="P114" t="s">
        <v>28</v>
      </c>
      <c r="Q114" t="s">
        <v>22</v>
      </c>
    </row>
    <row r="115" spans="1:17">
      <c r="A115" t="s">
        <v>162</v>
      </c>
      <c r="B115" t="s">
        <v>18</v>
      </c>
      <c r="C115" t="s">
        <v>31</v>
      </c>
      <c r="D115" t="s">
        <v>27</v>
      </c>
      <c r="E115" t="s">
        <v>34</v>
      </c>
      <c r="F115" s="2">
        <v>8362.92</v>
      </c>
      <c r="G115" s="3">
        <v>30</v>
      </c>
      <c r="H115" s="3">
        <v>17</v>
      </c>
      <c r="I115" s="3">
        <v>1</v>
      </c>
      <c r="J115" s="3">
        <v>34</v>
      </c>
      <c r="K115" s="3">
        <v>43</v>
      </c>
      <c r="L115" t="s">
        <v>22</v>
      </c>
      <c r="M115" s="3">
        <v>2</v>
      </c>
      <c r="N115" t="s">
        <v>23</v>
      </c>
      <c r="O115" t="s">
        <v>22</v>
      </c>
      <c r="P115" t="s">
        <v>28</v>
      </c>
      <c r="Q115" t="s">
        <v>22</v>
      </c>
    </row>
    <row r="116" spans="1:17">
      <c r="A116" t="s">
        <v>163</v>
      </c>
      <c r="B116" t="s">
        <v>18</v>
      </c>
      <c r="C116" t="s">
        <v>19</v>
      </c>
      <c r="D116" t="s">
        <v>20</v>
      </c>
      <c r="E116" t="s">
        <v>34</v>
      </c>
      <c r="F116" s="2">
        <v>1504.56</v>
      </c>
      <c r="G116" s="3">
        <v>45</v>
      </c>
      <c r="H116" s="3">
        <v>31</v>
      </c>
      <c r="I116" s="3">
        <v>0</v>
      </c>
      <c r="J116" s="3">
        <v>42</v>
      </c>
      <c r="K116" s="3">
        <v>88</v>
      </c>
      <c r="L116" t="s">
        <v>22</v>
      </c>
      <c r="M116" s="3">
        <v>1</v>
      </c>
      <c r="N116" t="s">
        <v>22</v>
      </c>
      <c r="O116" t="s">
        <v>23</v>
      </c>
      <c r="P116" t="s">
        <v>35</v>
      </c>
      <c r="Q116" t="s">
        <v>22</v>
      </c>
    </row>
    <row r="117" spans="1:17">
      <c r="A117" t="s">
        <v>164</v>
      </c>
      <c r="B117" t="s">
        <v>46</v>
      </c>
      <c r="C117" t="s">
        <v>26</v>
      </c>
      <c r="D117" t="s">
        <v>66</v>
      </c>
      <c r="E117" t="s">
        <v>53</v>
      </c>
      <c r="F117" s="2">
        <v>87544.9</v>
      </c>
      <c r="G117" s="3">
        <v>30</v>
      </c>
      <c r="H117" s="3">
        <v>88</v>
      </c>
      <c r="I117" s="3">
        <v>0</v>
      </c>
      <c r="J117" s="3">
        <v>38</v>
      </c>
      <c r="K117" s="3">
        <v>54</v>
      </c>
      <c r="L117" t="s">
        <v>22</v>
      </c>
      <c r="M117" s="3">
        <v>0</v>
      </c>
      <c r="N117" t="s">
        <v>23</v>
      </c>
      <c r="O117" t="s">
        <v>22</v>
      </c>
      <c r="P117" t="s">
        <v>24</v>
      </c>
      <c r="Q117" t="s">
        <v>22</v>
      </c>
    </row>
    <row r="118" spans="1:17">
      <c r="A118" t="s">
        <v>165</v>
      </c>
      <c r="B118" t="s">
        <v>30</v>
      </c>
      <c r="C118" t="s">
        <v>52</v>
      </c>
      <c r="D118" t="s">
        <v>27</v>
      </c>
      <c r="E118" t="s">
        <v>60</v>
      </c>
      <c r="F118" s="2">
        <v>6511.51</v>
      </c>
      <c r="G118" s="3">
        <v>60</v>
      </c>
      <c r="H118" s="3">
        <v>32</v>
      </c>
      <c r="I118" s="3">
        <v>1</v>
      </c>
      <c r="J118" s="3">
        <v>66</v>
      </c>
      <c r="K118" s="3">
        <v>24</v>
      </c>
      <c r="L118" t="s">
        <v>22</v>
      </c>
      <c r="M118" s="3">
        <v>1</v>
      </c>
      <c r="N118" t="s">
        <v>23</v>
      </c>
      <c r="O118" t="s">
        <v>22</v>
      </c>
      <c r="P118" t="s">
        <v>24</v>
      </c>
      <c r="Q118" t="s">
        <v>23</v>
      </c>
    </row>
    <row r="119" spans="1:17">
      <c r="A119" t="s">
        <v>166</v>
      </c>
      <c r="B119" t="s">
        <v>18</v>
      </c>
      <c r="C119" t="s">
        <v>37</v>
      </c>
      <c r="D119" t="s">
        <v>66</v>
      </c>
      <c r="E119" t="s">
        <v>48</v>
      </c>
      <c r="F119" s="2">
        <v>1900.05</v>
      </c>
      <c r="G119" s="3">
        <v>30</v>
      </c>
      <c r="H119" s="3">
        <v>18</v>
      </c>
      <c r="I119" s="3">
        <v>3</v>
      </c>
      <c r="J119" s="3">
        <v>45</v>
      </c>
      <c r="K119" s="3">
        <v>158</v>
      </c>
      <c r="L119" t="s">
        <v>22</v>
      </c>
      <c r="M119" s="3">
        <v>2</v>
      </c>
      <c r="N119" t="s">
        <v>23</v>
      </c>
      <c r="O119" t="s">
        <v>22</v>
      </c>
      <c r="P119" t="s">
        <v>24</v>
      </c>
      <c r="Q119" t="s">
        <v>23</v>
      </c>
    </row>
    <row r="120" spans="1:17">
      <c r="A120" t="s">
        <v>167</v>
      </c>
      <c r="B120" t="s">
        <v>18</v>
      </c>
      <c r="C120" t="s">
        <v>31</v>
      </c>
      <c r="D120" t="s">
        <v>20</v>
      </c>
      <c r="E120" t="s">
        <v>103</v>
      </c>
      <c r="F120" s="2">
        <v>5038.04</v>
      </c>
      <c r="G120" s="3">
        <v>15</v>
      </c>
      <c r="H120" s="3">
        <v>19</v>
      </c>
      <c r="I120" s="3">
        <v>0</v>
      </c>
      <c r="J120" s="3">
        <v>26</v>
      </c>
      <c r="K120" s="3">
        <v>142</v>
      </c>
      <c r="L120" t="s">
        <v>22</v>
      </c>
      <c r="M120" s="3">
        <v>0</v>
      </c>
      <c r="N120" t="s">
        <v>23</v>
      </c>
      <c r="O120" t="s">
        <v>22</v>
      </c>
      <c r="P120" t="s">
        <v>35</v>
      </c>
      <c r="Q120" t="s">
        <v>23</v>
      </c>
    </row>
    <row r="121" spans="1:17">
      <c r="A121" t="s">
        <v>168</v>
      </c>
      <c r="B121" t="s">
        <v>18</v>
      </c>
      <c r="C121" t="s">
        <v>19</v>
      </c>
      <c r="D121" t="s">
        <v>47</v>
      </c>
      <c r="E121" t="s">
        <v>48</v>
      </c>
      <c r="F121" s="2">
        <v>1079.93</v>
      </c>
      <c r="G121" s="3">
        <v>30</v>
      </c>
      <c r="H121" s="3">
        <v>7</v>
      </c>
      <c r="I121" s="3">
        <v>0</v>
      </c>
      <c r="J121" s="3">
        <v>23</v>
      </c>
      <c r="K121" s="3">
        <v>111</v>
      </c>
      <c r="L121" t="s">
        <v>22</v>
      </c>
      <c r="M121" s="3">
        <v>1</v>
      </c>
      <c r="N121" t="s">
        <v>22</v>
      </c>
      <c r="O121" t="s">
        <v>22</v>
      </c>
      <c r="P121" t="s">
        <v>35</v>
      </c>
      <c r="Q121" t="s">
        <v>23</v>
      </c>
    </row>
    <row r="122" spans="1:17">
      <c r="A122" t="s">
        <v>169</v>
      </c>
      <c r="B122" t="s">
        <v>18</v>
      </c>
      <c r="C122" t="s">
        <v>26</v>
      </c>
      <c r="D122" t="s">
        <v>42</v>
      </c>
      <c r="E122" t="s">
        <v>58</v>
      </c>
      <c r="F122" s="2">
        <v>3618.24</v>
      </c>
      <c r="G122" s="3">
        <v>15</v>
      </c>
      <c r="H122" s="3">
        <v>24</v>
      </c>
      <c r="I122" s="3">
        <v>0</v>
      </c>
      <c r="J122" s="3">
        <v>25</v>
      </c>
      <c r="K122" s="3">
        <v>173</v>
      </c>
      <c r="L122" t="s">
        <v>22</v>
      </c>
      <c r="M122" s="3">
        <v>0</v>
      </c>
      <c r="N122" t="s">
        <v>22</v>
      </c>
      <c r="O122" t="s">
        <v>23</v>
      </c>
      <c r="P122" t="s">
        <v>35</v>
      </c>
      <c r="Q122" t="s">
        <v>22</v>
      </c>
    </row>
    <row r="123" spans="1:17">
      <c r="A123" t="s">
        <v>170</v>
      </c>
      <c r="B123" t="s">
        <v>18</v>
      </c>
      <c r="C123" t="s">
        <v>19</v>
      </c>
      <c r="D123" t="s">
        <v>66</v>
      </c>
      <c r="E123" t="s">
        <v>21</v>
      </c>
      <c r="F123" s="2">
        <v>3920.66</v>
      </c>
      <c r="G123" s="3">
        <v>30</v>
      </c>
      <c r="H123" s="3">
        <v>48</v>
      </c>
      <c r="I123" s="3">
        <v>0</v>
      </c>
      <c r="J123" s="3">
        <v>38</v>
      </c>
      <c r="K123" s="3">
        <v>180</v>
      </c>
      <c r="L123" t="s">
        <v>22</v>
      </c>
      <c r="M123" s="3">
        <v>1</v>
      </c>
      <c r="N123" t="s">
        <v>23</v>
      </c>
      <c r="O123" t="s">
        <v>23</v>
      </c>
      <c r="P123" t="s">
        <v>24</v>
      </c>
      <c r="Q123" t="s">
        <v>23</v>
      </c>
    </row>
    <row r="124" spans="1:17">
      <c r="A124" t="s">
        <v>171</v>
      </c>
      <c r="B124" t="s">
        <v>46</v>
      </c>
      <c r="C124" t="s">
        <v>52</v>
      </c>
      <c r="D124" t="s">
        <v>42</v>
      </c>
      <c r="E124" t="s">
        <v>53</v>
      </c>
      <c r="F124" s="2">
        <v>62691.03</v>
      </c>
      <c r="G124" s="3">
        <v>30</v>
      </c>
      <c r="H124" s="3">
        <v>46</v>
      </c>
      <c r="I124" s="3">
        <v>0</v>
      </c>
      <c r="J124" s="3">
        <v>39</v>
      </c>
      <c r="K124" s="3">
        <v>105</v>
      </c>
      <c r="L124" t="s">
        <v>22</v>
      </c>
      <c r="M124" s="3">
        <v>1</v>
      </c>
      <c r="N124" t="s">
        <v>23</v>
      </c>
      <c r="O124" t="s">
        <v>23</v>
      </c>
      <c r="P124" t="s">
        <v>24</v>
      </c>
      <c r="Q124" t="s">
        <v>22</v>
      </c>
    </row>
    <row r="125" spans="1:17">
      <c r="A125" t="s">
        <v>172</v>
      </c>
      <c r="B125" t="s">
        <v>18</v>
      </c>
      <c r="C125" t="s">
        <v>31</v>
      </c>
      <c r="D125" t="s">
        <v>66</v>
      </c>
      <c r="E125" t="s">
        <v>85</v>
      </c>
      <c r="F125" s="2">
        <v>8357.92</v>
      </c>
      <c r="G125" s="3">
        <v>30</v>
      </c>
      <c r="H125" s="3">
        <v>26</v>
      </c>
      <c r="I125" s="3">
        <v>1</v>
      </c>
      <c r="J125" s="3">
        <v>34</v>
      </c>
      <c r="K125" s="3">
        <v>166</v>
      </c>
      <c r="L125" t="s">
        <v>22</v>
      </c>
      <c r="M125" s="3">
        <v>0</v>
      </c>
      <c r="N125" t="s">
        <v>23</v>
      </c>
      <c r="O125" t="s">
        <v>22</v>
      </c>
      <c r="P125" t="s">
        <v>24</v>
      </c>
      <c r="Q125" t="s">
        <v>23</v>
      </c>
    </row>
    <row r="126" spans="1:17">
      <c r="A126" t="s">
        <v>173</v>
      </c>
      <c r="B126" t="s">
        <v>18</v>
      </c>
      <c r="C126" t="s">
        <v>52</v>
      </c>
      <c r="D126" t="s">
        <v>42</v>
      </c>
      <c r="E126" t="s">
        <v>32</v>
      </c>
      <c r="F126" s="2">
        <v>6207.32</v>
      </c>
      <c r="G126" s="3">
        <v>60</v>
      </c>
      <c r="H126" s="3">
        <v>6</v>
      </c>
      <c r="I126" s="3">
        <v>0</v>
      </c>
      <c r="J126" s="3">
        <v>78</v>
      </c>
      <c r="K126" s="3">
        <v>69</v>
      </c>
      <c r="L126" t="s">
        <v>22</v>
      </c>
      <c r="M126" s="3">
        <v>0</v>
      </c>
      <c r="N126" t="s">
        <v>23</v>
      </c>
      <c r="O126" t="s">
        <v>22</v>
      </c>
      <c r="P126" t="s">
        <v>28</v>
      </c>
      <c r="Q126" t="s">
        <v>22</v>
      </c>
    </row>
    <row r="127" spans="1:17">
      <c r="A127" t="s">
        <v>174</v>
      </c>
      <c r="B127" t="s">
        <v>30</v>
      </c>
      <c r="C127" t="s">
        <v>37</v>
      </c>
      <c r="D127" t="s">
        <v>42</v>
      </c>
      <c r="E127" t="s">
        <v>85</v>
      </c>
      <c r="F127" s="2">
        <v>28856.1</v>
      </c>
      <c r="G127" s="3">
        <v>45</v>
      </c>
      <c r="H127" s="3">
        <v>35</v>
      </c>
      <c r="I127" s="3">
        <v>0</v>
      </c>
      <c r="J127" s="3">
        <v>51</v>
      </c>
      <c r="K127" s="3">
        <v>20</v>
      </c>
      <c r="L127" t="s">
        <v>22</v>
      </c>
      <c r="M127" s="3">
        <v>1</v>
      </c>
      <c r="N127" t="s">
        <v>23</v>
      </c>
      <c r="O127" t="s">
        <v>22</v>
      </c>
      <c r="P127" t="s">
        <v>24</v>
      </c>
      <c r="Q127" t="s">
        <v>22</v>
      </c>
    </row>
    <row r="128" spans="1:17">
      <c r="A128" t="s">
        <v>175</v>
      </c>
      <c r="B128" t="s">
        <v>46</v>
      </c>
      <c r="C128" t="s">
        <v>37</v>
      </c>
      <c r="D128" t="s">
        <v>42</v>
      </c>
      <c r="E128" t="s">
        <v>103</v>
      </c>
      <c r="F128" s="2">
        <v>43322.2</v>
      </c>
      <c r="G128" s="3">
        <v>45</v>
      </c>
      <c r="H128" s="3">
        <v>29</v>
      </c>
      <c r="I128" s="3">
        <v>2</v>
      </c>
      <c r="J128" s="3">
        <v>63</v>
      </c>
      <c r="K128" s="3">
        <v>133</v>
      </c>
      <c r="L128" t="s">
        <v>22</v>
      </c>
      <c r="M128" s="3">
        <v>2</v>
      </c>
      <c r="N128" t="s">
        <v>22</v>
      </c>
      <c r="O128" t="s">
        <v>22</v>
      </c>
      <c r="P128" t="s">
        <v>24</v>
      </c>
      <c r="Q128" t="s">
        <v>23</v>
      </c>
    </row>
    <row r="129" spans="1:17">
      <c r="A129" t="s">
        <v>176</v>
      </c>
      <c r="B129" t="s">
        <v>30</v>
      </c>
      <c r="C129" t="s">
        <v>55</v>
      </c>
      <c r="D129" t="s">
        <v>20</v>
      </c>
      <c r="E129" t="s">
        <v>43</v>
      </c>
      <c r="F129" s="2">
        <v>18436.330000000002</v>
      </c>
      <c r="G129" s="3">
        <v>30</v>
      </c>
      <c r="H129" s="3">
        <v>71</v>
      </c>
      <c r="I129" s="3">
        <v>0</v>
      </c>
      <c r="J129" s="3">
        <v>39</v>
      </c>
      <c r="K129" s="3">
        <v>61</v>
      </c>
      <c r="L129" t="s">
        <v>22</v>
      </c>
      <c r="M129" s="3">
        <v>0</v>
      </c>
      <c r="N129" t="s">
        <v>23</v>
      </c>
      <c r="O129" t="s">
        <v>22</v>
      </c>
      <c r="P129" t="s">
        <v>35</v>
      </c>
      <c r="Q129" t="s">
        <v>22</v>
      </c>
    </row>
    <row r="130" spans="1:17">
      <c r="A130" t="s">
        <v>177</v>
      </c>
      <c r="B130" t="s">
        <v>18</v>
      </c>
      <c r="C130" t="s">
        <v>52</v>
      </c>
      <c r="D130" t="s">
        <v>47</v>
      </c>
      <c r="E130" t="s">
        <v>60</v>
      </c>
      <c r="F130" s="2">
        <v>6696.74</v>
      </c>
      <c r="G130" s="3">
        <v>15</v>
      </c>
      <c r="H130" s="3">
        <v>30</v>
      </c>
      <c r="I130" s="3">
        <v>4</v>
      </c>
      <c r="J130" s="3">
        <v>18</v>
      </c>
      <c r="K130" s="3">
        <v>3</v>
      </c>
      <c r="L130" t="s">
        <v>22</v>
      </c>
      <c r="M130" s="3">
        <v>4</v>
      </c>
      <c r="N130" t="s">
        <v>23</v>
      </c>
      <c r="O130" t="s">
        <v>22</v>
      </c>
      <c r="P130" t="s">
        <v>35</v>
      </c>
      <c r="Q130" t="s">
        <v>22</v>
      </c>
    </row>
    <row r="131" spans="1:17">
      <c r="A131" t="s">
        <v>178</v>
      </c>
      <c r="B131" t="s">
        <v>30</v>
      </c>
      <c r="C131" t="s">
        <v>55</v>
      </c>
      <c r="D131" t="s">
        <v>38</v>
      </c>
      <c r="E131" t="s">
        <v>21</v>
      </c>
      <c r="F131" s="2">
        <v>17059.810000000001</v>
      </c>
      <c r="G131" s="3">
        <v>30</v>
      </c>
      <c r="H131" s="3">
        <v>7</v>
      </c>
      <c r="I131" s="3">
        <v>1</v>
      </c>
      <c r="J131" s="3">
        <v>46</v>
      </c>
      <c r="K131" s="3">
        <v>143</v>
      </c>
      <c r="L131" t="s">
        <v>22</v>
      </c>
      <c r="M131" s="3">
        <v>3</v>
      </c>
      <c r="N131" t="s">
        <v>23</v>
      </c>
      <c r="O131" t="s">
        <v>22</v>
      </c>
      <c r="P131" t="s">
        <v>28</v>
      </c>
      <c r="Q131" t="s">
        <v>23</v>
      </c>
    </row>
    <row r="132" spans="1:17">
      <c r="A132" t="s">
        <v>179</v>
      </c>
      <c r="B132" t="s">
        <v>18</v>
      </c>
      <c r="C132" t="s">
        <v>55</v>
      </c>
      <c r="D132" t="s">
        <v>47</v>
      </c>
      <c r="E132" t="s">
        <v>103</v>
      </c>
      <c r="F132" s="2">
        <v>1114.17</v>
      </c>
      <c r="G132" s="3">
        <v>15</v>
      </c>
      <c r="H132" s="3">
        <v>43</v>
      </c>
      <c r="I132" s="3">
        <v>1</v>
      </c>
      <c r="J132" s="3">
        <v>21</v>
      </c>
      <c r="K132" s="3">
        <v>147</v>
      </c>
      <c r="L132" t="s">
        <v>22</v>
      </c>
      <c r="M132" s="3">
        <v>1</v>
      </c>
      <c r="N132" t="s">
        <v>23</v>
      </c>
      <c r="O132" t="s">
        <v>23</v>
      </c>
      <c r="P132" t="s">
        <v>28</v>
      </c>
      <c r="Q132" t="s">
        <v>23</v>
      </c>
    </row>
    <row r="133" spans="1:17">
      <c r="A133" t="s">
        <v>180</v>
      </c>
      <c r="B133" t="s">
        <v>18</v>
      </c>
      <c r="C133" t="s">
        <v>26</v>
      </c>
      <c r="D133" t="s">
        <v>20</v>
      </c>
      <c r="E133" t="s">
        <v>60</v>
      </c>
      <c r="F133" s="2">
        <v>5813.38</v>
      </c>
      <c r="G133" s="3">
        <v>45</v>
      </c>
      <c r="H133" s="3">
        <v>44</v>
      </c>
      <c r="I133" s="3">
        <v>1</v>
      </c>
      <c r="J133" s="3">
        <v>54</v>
      </c>
      <c r="K133" s="3">
        <v>104</v>
      </c>
      <c r="L133" t="s">
        <v>22</v>
      </c>
      <c r="M133" s="3">
        <v>1</v>
      </c>
      <c r="N133" t="s">
        <v>22</v>
      </c>
      <c r="O133" t="s">
        <v>22</v>
      </c>
      <c r="P133" t="s">
        <v>24</v>
      </c>
      <c r="Q133" t="s">
        <v>23</v>
      </c>
    </row>
    <row r="134" spans="1:17">
      <c r="A134" t="s">
        <v>181</v>
      </c>
      <c r="B134" t="s">
        <v>46</v>
      </c>
      <c r="C134" t="s">
        <v>52</v>
      </c>
      <c r="D134" t="s">
        <v>66</v>
      </c>
      <c r="E134" t="s">
        <v>103</v>
      </c>
      <c r="F134" s="2">
        <v>62224.27</v>
      </c>
      <c r="G134" s="3">
        <v>30</v>
      </c>
      <c r="H134" s="3">
        <v>44</v>
      </c>
      <c r="I134" s="3">
        <v>0</v>
      </c>
      <c r="J134" s="3">
        <v>44</v>
      </c>
      <c r="K134" s="3">
        <v>152</v>
      </c>
      <c r="L134" t="s">
        <v>22</v>
      </c>
      <c r="M134" s="3">
        <v>0</v>
      </c>
      <c r="N134" t="s">
        <v>23</v>
      </c>
      <c r="O134" t="s">
        <v>22</v>
      </c>
      <c r="P134" t="s">
        <v>24</v>
      </c>
      <c r="Q134" t="s">
        <v>23</v>
      </c>
    </row>
    <row r="135" spans="1:17">
      <c r="A135" t="s">
        <v>182</v>
      </c>
      <c r="B135" t="s">
        <v>46</v>
      </c>
      <c r="C135" t="s">
        <v>52</v>
      </c>
      <c r="D135" t="s">
        <v>38</v>
      </c>
      <c r="E135" t="s">
        <v>60</v>
      </c>
      <c r="F135" s="2">
        <v>84317.04</v>
      </c>
      <c r="G135" s="3">
        <v>30</v>
      </c>
      <c r="H135" s="3">
        <v>82</v>
      </c>
      <c r="I135" s="3">
        <v>2</v>
      </c>
      <c r="J135" s="3">
        <v>42</v>
      </c>
      <c r="K135" s="3">
        <v>87</v>
      </c>
      <c r="L135" t="s">
        <v>22</v>
      </c>
      <c r="M135" s="3">
        <v>1</v>
      </c>
      <c r="N135" t="s">
        <v>23</v>
      </c>
      <c r="O135" t="s">
        <v>22</v>
      </c>
      <c r="P135" t="s">
        <v>24</v>
      </c>
      <c r="Q135" t="s">
        <v>22</v>
      </c>
    </row>
    <row r="136" spans="1:17">
      <c r="A136" t="s">
        <v>183</v>
      </c>
      <c r="B136" t="s">
        <v>18</v>
      </c>
      <c r="C136" t="s">
        <v>19</v>
      </c>
      <c r="D136" t="s">
        <v>66</v>
      </c>
      <c r="E136" t="s">
        <v>32</v>
      </c>
      <c r="F136" s="2">
        <v>3845.09</v>
      </c>
      <c r="G136" s="3">
        <v>60</v>
      </c>
      <c r="H136" s="3">
        <v>40</v>
      </c>
      <c r="I136" s="3">
        <v>1</v>
      </c>
      <c r="J136" s="3">
        <v>70</v>
      </c>
      <c r="K136" s="3">
        <v>102</v>
      </c>
      <c r="L136" t="s">
        <v>22</v>
      </c>
      <c r="M136" s="3">
        <v>2</v>
      </c>
      <c r="N136" t="s">
        <v>22</v>
      </c>
      <c r="O136" t="s">
        <v>23</v>
      </c>
      <c r="P136" t="s">
        <v>28</v>
      </c>
      <c r="Q136" t="s">
        <v>22</v>
      </c>
    </row>
    <row r="137" spans="1:17">
      <c r="A137" t="s">
        <v>184</v>
      </c>
      <c r="B137" t="s">
        <v>18</v>
      </c>
      <c r="C137" t="s">
        <v>19</v>
      </c>
      <c r="D137" t="s">
        <v>66</v>
      </c>
      <c r="E137" t="s">
        <v>103</v>
      </c>
      <c r="F137" s="2">
        <v>2286.0300000000002</v>
      </c>
      <c r="G137" s="3">
        <v>45</v>
      </c>
      <c r="H137" s="3">
        <v>14</v>
      </c>
      <c r="I137" s="3">
        <v>2</v>
      </c>
      <c r="J137" s="3">
        <v>45</v>
      </c>
      <c r="K137" s="3">
        <v>155</v>
      </c>
      <c r="L137" t="s">
        <v>23</v>
      </c>
      <c r="M137" s="3">
        <v>2</v>
      </c>
      <c r="N137" t="s">
        <v>23</v>
      </c>
      <c r="O137" t="s">
        <v>22</v>
      </c>
      <c r="P137" t="s">
        <v>28</v>
      </c>
      <c r="Q137" t="s">
        <v>23</v>
      </c>
    </row>
    <row r="138" spans="1:17">
      <c r="A138" t="s">
        <v>185</v>
      </c>
      <c r="B138" t="s">
        <v>18</v>
      </c>
      <c r="C138" t="s">
        <v>26</v>
      </c>
      <c r="D138" t="s">
        <v>38</v>
      </c>
      <c r="E138" t="s">
        <v>60</v>
      </c>
      <c r="F138" s="2">
        <v>6039.06</v>
      </c>
      <c r="G138" s="3">
        <v>60</v>
      </c>
      <c r="H138" s="3">
        <v>30</v>
      </c>
      <c r="I138" s="3">
        <v>0</v>
      </c>
      <c r="J138" s="3">
        <v>58</v>
      </c>
      <c r="K138" s="3">
        <v>139</v>
      </c>
      <c r="L138" t="s">
        <v>22</v>
      </c>
      <c r="M138" s="3">
        <v>2</v>
      </c>
      <c r="N138" t="s">
        <v>22</v>
      </c>
      <c r="O138" t="s">
        <v>22</v>
      </c>
      <c r="P138" t="s">
        <v>24</v>
      </c>
      <c r="Q138" t="s">
        <v>22</v>
      </c>
    </row>
    <row r="139" spans="1:17">
      <c r="A139" t="s">
        <v>186</v>
      </c>
      <c r="B139" t="s">
        <v>18</v>
      </c>
      <c r="C139" t="s">
        <v>52</v>
      </c>
      <c r="D139" t="s">
        <v>20</v>
      </c>
      <c r="E139" t="s">
        <v>53</v>
      </c>
      <c r="F139" s="2">
        <v>1489.24</v>
      </c>
      <c r="G139" s="3">
        <v>30</v>
      </c>
      <c r="H139" s="3">
        <v>46</v>
      </c>
      <c r="I139" s="3">
        <v>0</v>
      </c>
      <c r="J139" s="3">
        <v>39</v>
      </c>
      <c r="K139" s="3">
        <v>150</v>
      </c>
      <c r="L139" t="s">
        <v>23</v>
      </c>
      <c r="M139" s="3">
        <v>1</v>
      </c>
      <c r="N139" t="s">
        <v>22</v>
      </c>
      <c r="O139" t="s">
        <v>22</v>
      </c>
      <c r="P139" t="s">
        <v>28</v>
      </c>
      <c r="Q139" t="s">
        <v>23</v>
      </c>
    </row>
    <row r="140" spans="1:17">
      <c r="A140" t="s">
        <v>187</v>
      </c>
      <c r="B140" t="s">
        <v>18</v>
      </c>
      <c r="C140" t="s">
        <v>26</v>
      </c>
      <c r="D140" t="s">
        <v>42</v>
      </c>
      <c r="E140" t="s">
        <v>32</v>
      </c>
      <c r="F140" s="2">
        <v>3049.92</v>
      </c>
      <c r="G140" s="3">
        <v>30</v>
      </c>
      <c r="H140" s="3">
        <v>36</v>
      </c>
      <c r="I140" s="3">
        <v>1</v>
      </c>
      <c r="J140" s="3">
        <v>22</v>
      </c>
      <c r="K140" s="3">
        <v>140</v>
      </c>
      <c r="L140" t="s">
        <v>22</v>
      </c>
      <c r="M140" s="3">
        <v>4</v>
      </c>
      <c r="N140" t="s">
        <v>23</v>
      </c>
      <c r="O140" t="s">
        <v>22</v>
      </c>
      <c r="P140" t="s">
        <v>28</v>
      </c>
      <c r="Q140" t="s">
        <v>23</v>
      </c>
    </row>
    <row r="141" spans="1:17">
      <c r="A141" t="s">
        <v>188</v>
      </c>
      <c r="B141" t="s">
        <v>18</v>
      </c>
      <c r="C141" t="s">
        <v>37</v>
      </c>
      <c r="D141" t="s">
        <v>47</v>
      </c>
      <c r="E141" t="s">
        <v>34</v>
      </c>
      <c r="F141" s="2">
        <v>1664.37</v>
      </c>
      <c r="G141" s="3">
        <v>30</v>
      </c>
      <c r="H141" s="3">
        <v>10</v>
      </c>
      <c r="I141" s="3">
        <v>1</v>
      </c>
      <c r="J141" s="3">
        <v>26</v>
      </c>
      <c r="K141" s="3">
        <v>11</v>
      </c>
      <c r="L141" t="s">
        <v>22</v>
      </c>
      <c r="M141" s="3">
        <v>0</v>
      </c>
      <c r="N141" t="s">
        <v>22</v>
      </c>
      <c r="O141" t="s">
        <v>22</v>
      </c>
      <c r="P141" t="s">
        <v>24</v>
      </c>
      <c r="Q141" t="s">
        <v>22</v>
      </c>
    </row>
    <row r="142" spans="1:17">
      <c r="A142" t="s">
        <v>189</v>
      </c>
      <c r="B142" t="s">
        <v>30</v>
      </c>
      <c r="C142" t="s">
        <v>52</v>
      </c>
      <c r="D142" t="s">
        <v>38</v>
      </c>
      <c r="E142" t="s">
        <v>43</v>
      </c>
      <c r="F142" s="2">
        <v>31539.25</v>
      </c>
      <c r="G142" s="3">
        <v>45</v>
      </c>
      <c r="H142" s="3">
        <v>64</v>
      </c>
      <c r="I142" s="3">
        <v>1</v>
      </c>
      <c r="J142" s="3">
        <v>57</v>
      </c>
      <c r="K142" s="3">
        <v>117</v>
      </c>
      <c r="L142" t="s">
        <v>22</v>
      </c>
      <c r="M142" s="3">
        <v>2</v>
      </c>
      <c r="N142" t="s">
        <v>22</v>
      </c>
      <c r="O142" t="s">
        <v>22</v>
      </c>
      <c r="P142" t="s">
        <v>24</v>
      </c>
      <c r="Q142" t="s">
        <v>22</v>
      </c>
    </row>
    <row r="143" spans="1:17">
      <c r="A143" t="s">
        <v>190</v>
      </c>
      <c r="B143" t="s">
        <v>18</v>
      </c>
      <c r="C143" t="s">
        <v>52</v>
      </c>
      <c r="D143" t="s">
        <v>42</v>
      </c>
      <c r="E143" t="s">
        <v>85</v>
      </c>
      <c r="F143" s="2">
        <v>7205.75</v>
      </c>
      <c r="G143" s="3">
        <v>30</v>
      </c>
      <c r="H143" s="3">
        <v>8</v>
      </c>
      <c r="I143" s="3">
        <v>6</v>
      </c>
      <c r="J143" s="3">
        <v>70</v>
      </c>
      <c r="K143" s="3">
        <v>71</v>
      </c>
      <c r="L143" t="s">
        <v>22</v>
      </c>
      <c r="M143" s="3">
        <v>3</v>
      </c>
      <c r="N143" t="s">
        <v>22</v>
      </c>
      <c r="O143" t="s">
        <v>23</v>
      </c>
      <c r="P143" t="s">
        <v>35</v>
      </c>
      <c r="Q143" t="s">
        <v>23</v>
      </c>
    </row>
    <row r="144" spans="1:17">
      <c r="A144" t="s">
        <v>191</v>
      </c>
      <c r="B144" t="s">
        <v>18</v>
      </c>
      <c r="C144" t="s">
        <v>37</v>
      </c>
      <c r="D144" t="s">
        <v>47</v>
      </c>
      <c r="E144" t="s">
        <v>32</v>
      </c>
      <c r="F144" s="2">
        <v>2745.48</v>
      </c>
      <c r="G144" s="3">
        <v>30</v>
      </c>
      <c r="H144" s="3">
        <v>29</v>
      </c>
      <c r="I144" s="3">
        <v>1</v>
      </c>
      <c r="J144" s="3">
        <v>39</v>
      </c>
      <c r="K144" s="3">
        <v>127</v>
      </c>
      <c r="L144" t="s">
        <v>22</v>
      </c>
      <c r="M144" s="3">
        <v>2</v>
      </c>
      <c r="N144" t="s">
        <v>23</v>
      </c>
      <c r="O144" t="s">
        <v>22</v>
      </c>
      <c r="P144" t="s">
        <v>28</v>
      </c>
      <c r="Q144" t="s">
        <v>23</v>
      </c>
    </row>
    <row r="145" spans="1:17">
      <c r="A145" t="s">
        <v>192</v>
      </c>
      <c r="B145" t="s">
        <v>18</v>
      </c>
      <c r="C145" t="s">
        <v>52</v>
      </c>
      <c r="D145" t="s">
        <v>38</v>
      </c>
      <c r="E145" t="s">
        <v>103</v>
      </c>
      <c r="F145" s="2">
        <v>3808.28</v>
      </c>
      <c r="G145" s="3">
        <v>15</v>
      </c>
      <c r="H145" s="3">
        <v>27</v>
      </c>
      <c r="I145" s="3">
        <v>1</v>
      </c>
      <c r="J145" s="3">
        <v>31</v>
      </c>
      <c r="K145" s="3">
        <v>80</v>
      </c>
      <c r="L145" t="s">
        <v>22</v>
      </c>
      <c r="M145" s="3">
        <v>2</v>
      </c>
      <c r="N145" t="s">
        <v>23</v>
      </c>
      <c r="O145" t="s">
        <v>23</v>
      </c>
      <c r="P145" t="s">
        <v>35</v>
      </c>
      <c r="Q145" t="s">
        <v>23</v>
      </c>
    </row>
    <row r="146" spans="1:17">
      <c r="A146" t="s">
        <v>193</v>
      </c>
      <c r="B146" t="s">
        <v>18</v>
      </c>
      <c r="C146" t="s">
        <v>19</v>
      </c>
      <c r="D146" t="s">
        <v>27</v>
      </c>
      <c r="E146" t="s">
        <v>60</v>
      </c>
      <c r="F146" s="2">
        <v>1377.24</v>
      </c>
      <c r="G146" s="3">
        <v>45</v>
      </c>
      <c r="H146" s="3">
        <v>45</v>
      </c>
      <c r="I146" s="3">
        <v>4</v>
      </c>
      <c r="J146" s="3">
        <v>62</v>
      </c>
      <c r="K146" s="3">
        <v>99</v>
      </c>
      <c r="L146" t="s">
        <v>22</v>
      </c>
      <c r="M146" s="3">
        <v>2</v>
      </c>
      <c r="N146" t="s">
        <v>23</v>
      </c>
      <c r="O146" t="s">
        <v>22</v>
      </c>
      <c r="P146" t="s">
        <v>24</v>
      </c>
      <c r="Q146" t="s">
        <v>23</v>
      </c>
    </row>
    <row r="147" spans="1:17">
      <c r="A147" t="s">
        <v>194</v>
      </c>
      <c r="B147" t="s">
        <v>18</v>
      </c>
      <c r="C147" t="s">
        <v>26</v>
      </c>
      <c r="D147" t="s">
        <v>38</v>
      </c>
      <c r="E147" t="s">
        <v>85</v>
      </c>
      <c r="F147" s="2">
        <v>3100.69</v>
      </c>
      <c r="G147" s="3">
        <v>30</v>
      </c>
      <c r="H147" s="3">
        <v>35</v>
      </c>
      <c r="I147" s="3">
        <v>5</v>
      </c>
      <c r="J147" s="3">
        <v>46</v>
      </c>
      <c r="K147" s="3">
        <v>180</v>
      </c>
      <c r="L147" t="s">
        <v>22</v>
      </c>
      <c r="M147" s="3">
        <v>5</v>
      </c>
      <c r="N147" t="s">
        <v>23</v>
      </c>
      <c r="O147" t="s">
        <v>22</v>
      </c>
      <c r="P147" t="s">
        <v>24</v>
      </c>
      <c r="Q147" t="s">
        <v>23</v>
      </c>
    </row>
    <row r="148" spans="1:17">
      <c r="A148" t="s">
        <v>195</v>
      </c>
      <c r="B148" t="s">
        <v>18</v>
      </c>
      <c r="C148" t="s">
        <v>55</v>
      </c>
      <c r="D148" t="s">
        <v>66</v>
      </c>
      <c r="E148" t="s">
        <v>103</v>
      </c>
      <c r="F148" s="2">
        <v>3514.86</v>
      </c>
      <c r="G148" s="3">
        <v>30</v>
      </c>
      <c r="H148" s="3">
        <v>18</v>
      </c>
      <c r="I148" s="3">
        <v>1</v>
      </c>
      <c r="J148" s="3">
        <v>36</v>
      </c>
      <c r="K148" s="3">
        <v>123</v>
      </c>
      <c r="L148" t="s">
        <v>22</v>
      </c>
      <c r="M148" s="3">
        <v>1</v>
      </c>
      <c r="N148" t="s">
        <v>23</v>
      </c>
      <c r="O148" t="s">
        <v>22</v>
      </c>
      <c r="P148" t="s">
        <v>35</v>
      </c>
      <c r="Q148" t="s">
        <v>23</v>
      </c>
    </row>
    <row r="149" spans="1:17">
      <c r="A149" t="s">
        <v>196</v>
      </c>
      <c r="B149" t="s">
        <v>46</v>
      </c>
      <c r="C149" t="s">
        <v>31</v>
      </c>
      <c r="D149" t="s">
        <v>27</v>
      </c>
      <c r="E149" t="s">
        <v>103</v>
      </c>
      <c r="F149" s="2">
        <v>49962.79</v>
      </c>
      <c r="G149" s="3">
        <v>45</v>
      </c>
      <c r="H149" s="3">
        <v>34</v>
      </c>
      <c r="I149" s="3">
        <v>0</v>
      </c>
      <c r="J149" s="3">
        <v>55</v>
      </c>
      <c r="K149" s="3">
        <v>175</v>
      </c>
      <c r="L149" t="s">
        <v>22</v>
      </c>
      <c r="M149" s="3">
        <v>0</v>
      </c>
      <c r="N149" t="s">
        <v>23</v>
      </c>
      <c r="O149" t="s">
        <v>22</v>
      </c>
      <c r="P149" t="s">
        <v>28</v>
      </c>
      <c r="Q149" t="s">
        <v>22</v>
      </c>
    </row>
    <row r="150" spans="1:17">
      <c r="A150" t="s">
        <v>197</v>
      </c>
      <c r="B150" t="s">
        <v>30</v>
      </c>
      <c r="C150" t="s">
        <v>19</v>
      </c>
      <c r="D150" t="s">
        <v>27</v>
      </c>
      <c r="E150" t="s">
        <v>85</v>
      </c>
      <c r="F150" s="2">
        <v>30856.13</v>
      </c>
      <c r="G150" s="3">
        <v>30</v>
      </c>
      <c r="H150" s="3">
        <v>46</v>
      </c>
      <c r="I150" s="3">
        <v>0</v>
      </c>
      <c r="J150" s="3">
        <v>27</v>
      </c>
      <c r="K150" s="3">
        <v>156</v>
      </c>
      <c r="L150" t="s">
        <v>22</v>
      </c>
      <c r="M150" s="3">
        <v>0</v>
      </c>
      <c r="N150" t="s">
        <v>22</v>
      </c>
      <c r="O150" t="s">
        <v>22</v>
      </c>
      <c r="P150" t="s">
        <v>28</v>
      </c>
      <c r="Q150" t="s">
        <v>22</v>
      </c>
    </row>
    <row r="151" spans="1:17">
      <c r="A151" t="s">
        <v>198</v>
      </c>
      <c r="B151" t="s">
        <v>18</v>
      </c>
      <c r="C151" t="s">
        <v>19</v>
      </c>
      <c r="D151" t="s">
        <v>27</v>
      </c>
      <c r="E151" t="s">
        <v>53</v>
      </c>
      <c r="F151" s="2">
        <v>8293.86</v>
      </c>
      <c r="G151" s="3">
        <v>45</v>
      </c>
      <c r="H151" s="3">
        <v>25</v>
      </c>
      <c r="I151" s="3">
        <v>2</v>
      </c>
      <c r="J151" s="3">
        <v>46</v>
      </c>
      <c r="K151" s="3">
        <v>105</v>
      </c>
      <c r="L151" t="s">
        <v>22</v>
      </c>
      <c r="M151" s="3">
        <v>4</v>
      </c>
      <c r="N151" t="s">
        <v>23</v>
      </c>
      <c r="O151" t="s">
        <v>22</v>
      </c>
      <c r="P151" t="s">
        <v>28</v>
      </c>
      <c r="Q151" t="s">
        <v>23</v>
      </c>
    </row>
    <row r="152" spans="1:17">
      <c r="A152" t="s">
        <v>199</v>
      </c>
      <c r="B152" t="s">
        <v>30</v>
      </c>
      <c r="C152" t="s">
        <v>31</v>
      </c>
      <c r="D152" t="s">
        <v>66</v>
      </c>
      <c r="E152" t="s">
        <v>43</v>
      </c>
      <c r="F152" s="2">
        <v>28684.11</v>
      </c>
      <c r="G152" s="3">
        <v>15</v>
      </c>
      <c r="H152" s="3">
        <v>50</v>
      </c>
      <c r="I152" s="3">
        <v>1</v>
      </c>
      <c r="J152" s="3">
        <v>10</v>
      </c>
      <c r="K152" s="3">
        <v>52</v>
      </c>
      <c r="L152" t="s">
        <v>22</v>
      </c>
      <c r="M152" s="3">
        <v>1</v>
      </c>
      <c r="N152" t="s">
        <v>22</v>
      </c>
      <c r="O152" t="s">
        <v>22</v>
      </c>
      <c r="P152" t="s">
        <v>28</v>
      </c>
      <c r="Q152" t="s">
        <v>22</v>
      </c>
    </row>
    <row r="153" spans="1:17">
      <c r="A153" t="s">
        <v>200</v>
      </c>
      <c r="B153" t="s">
        <v>18</v>
      </c>
      <c r="C153" t="s">
        <v>19</v>
      </c>
      <c r="D153" t="s">
        <v>42</v>
      </c>
      <c r="E153" t="s">
        <v>50</v>
      </c>
      <c r="F153" s="2">
        <v>1787</v>
      </c>
      <c r="G153" s="3">
        <v>30</v>
      </c>
      <c r="H153" s="3">
        <v>29</v>
      </c>
      <c r="I153" s="3">
        <v>0</v>
      </c>
      <c r="J153" s="3">
        <v>46</v>
      </c>
      <c r="K153" s="3">
        <v>105</v>
      </c>
      <c r="L153" t="s">
        <v>22</v>
      </c>
      <c r="M153" s="3">
        <v>0</v>
      </c>
      <c r="N153" t="s">
        <v>22</v>
      </c>
      <c r="O153" t="s">
        <v>22</v>
      </c>
      <c r="P153" t="s">
        <v>24</v>
      </c>
      <c r="Q153" t="s">
        <v>22</v>
      </c>
    </row>
    <row r="154" spans="1:17">
      <c r="A154" t="s">
        <v>201</v>
      </c>
      <c r="B154" t="s">
        <v>18</v>
      </c>
      <c r="C154" t="s">
        <v>31</v>
      </c>
      <c r="D154" t="s">
        <v>47</v>
      </c>
      <c r="E154" t="s">
        <v>60</v>
      </c>
      <c r="F154" s="2">
        <v>4451.53</v>
      </c>
      <c r="G154" s="3">
        <v>60</v>
      </c>
      <c r="H154" s="3">
        <v>42</v>
      </c>
      <c r="I154" s="3">
        <v>1</v>
      </c>
      <c r="J154" s="3">
        <v>72</v>
      </c>
      <c r="K154" s="3">
        <v>152</v>
      </c>
      <c r="L154" t="s">
        <v>22</v>
      </c>
      <c r="M154" s="3">
        <v>0</v>
      </c>
      <c r="N154" t="s">
        <v>23</v>
      </c>
      <c r="O154" t="s">
        <v>23</v>
      </c>
      <c r="P154" t="s">
        <v>24</v>
      </c>
      <c r="Q154" t="s">
        <v>22</v>
      </c>
    </row>
    <row r="155" spans="1:17">
      <c r="A155" t="s">
        <v>202</v>
      </c>
      <c r="B155" t="s">
        <v>30</v>
      </c>
      <c r="C155" t="s">
        <v>52</v>
      </c>
      <c r="D155" t="s">
        <v>20</v>
      </c>
      <c r="E155" t="s">
        <v>43</v>
      </c>
      <c r="F155" s="2">
        <v>25954.560000000001</v>
      </c>
      <c r="G155" s="3">
        <v>30</v>
      </c>
      <c r="H155" s="3">
        <v>30</v>
      </c>
      <c r="I155" s="3">
        <v>1</v>
      </c>
      <c r="J155" s="3">
        <v>45</v>
      </c>
      <c r="K155" s="3">
        <v>173</v>
      </c>
      <c r="L155" t="s">
        <v>22</v>
      </c>
      <c r="M155" s="3">
        <v>2</v>
      </c>
      <c r="N155" t="s">
        <v>23</v>
      </c>
      <c r="O155" t="s">
        <v>22</v>
      </c>
      <c r="P155" t="s">
        <v>24</v>
      </c>
      <c r="Q155" t="s">
        <v>23</v>
      </c>
    </row>
    <row r="156" spans="1:17">
      <c r="A156" t="s">
        <v>203</v>
      </c>
      <c r="B156" t="s">
        <v>18</v>
      </c>
      <c r="C156" t="s">
        <v>31</v>
      </c>
      <c r="D156" t="s">
        <v>20</v>
      </c>
      <c r="E156" t="s">
        <v>48</v>
      </c>
      <c r="F156" s="2">
        <v>909.24</v>
      </c>
      <c r="G156" s="3">
        <v>30</v>
      </c>
      <c r="H156" s="3">
        <v>39</v>
      </c>
      <c r="I156" s="3">
        <v>1</v>
      </c>
      <c r="J156" s="3">
        <v>38</v>
      </c>
      <c r="K156" s="3">
        <v>50</v>
      </c>
      <c r="L156" t="s">
        <v>22</v>
      </c>
      <c r="M156" s="3">
        <v>0</v>
      </c>
      <c r="N156" t="s">
        <v>23</v>
      </c>
      <c r="O156" t="s">
        <v>22</v>
      </c>
      <c r="P156" t="s">
        <v>24</v>
      </c>
      <c r="Q156" t="s">
        <v>22</v>
      </c>
    </row>
    <row r="157" spans="1:17">
      <c r="A157" t="s">
        <v>204</v>
      </c>
      <c r="B157" t="s">
        <v>30</v>
      </c>
      <c r="C157" t="s">
        <v>37</v>
      </c>
      <c r="D157" t="s">
        <v>42</v>
      </c>
      <c r="E157" t="s">
        <v>34</v>
      </c>
      <c r="F157" s="2">
        <v>21654.14</v>
      </c>
      <c r="G157" s="3">
        <v>45</v>
      </c>
      <c r="H157" s="3">
        <v>30</v>
      </c>
      <c r="I157" s="3">
        <v>0</v>
      </c>
      <c r="J157" s="3">
        <v>41</v>
      </c>
      <c r="K157" s="3">
        <v>59</v>
      </c>
      <c r="L157" t="s">
        <v>22</v>
      </c>
      <c r="M157" s="3">
        <v>0</v>
      </c>
      <c r="N157" t="s">
        <v>22</v>
      </c>
      <c r="O157" t="s">
        <v>23</v>
      </c>
      <c r="P157" t="s">
        <v>24</v>
      </c>
      <c r="Q157" t="s">
        <v>23</v>
      </c>
    </row>
    <row r="158" spans="1:17">
      <c r="A158" t="s">
        <v>205</v>
      </c>
      <c r="B158" t="s">
        <v>30</v>
      </c>
      <c r="C158" t="s">
        <v>55</v>
      </c>
      <c r="D158" t="s">
        <v>27</v>
      </c>
      <c r="E158" t="s">
        <v>85</v>
      </c>
      <c r="F158" s="2">
        <v>15941.8</v>
      </c>
      <c r="G158" s="3">
        <v>30</v>
      </c>
      <c r="H158" s="3">
        <v>8</v>
      </c>
      <c r="I158" s="3">
        <v>1</v>
      </c>
      <c r="J158" s="3">
        <v>32</v>
      </c>
      <c r="K158" s="3">
        <v>54</v>
      </c>
      <c r="L158" t="s">
        <v>22</v>
      </c>
      <c r="M158" s="3">
        <v>1</v>
      </c>
      <c r="N158" t="s">
        <v>22</v>
      </c>
      <c r="O158" t="s">
        <v>22</v>
      </c>
      <c r="P158" t="s">
        <v>28</v>
      </c>
      <c r="Q158" t="s">
        <v>22</v>
      </c>
    </row>
    <row r="159" spans="1:17">
      <c r="A159" t="s">
        <v>206</v>
      </c>
      <c r="B159" t="s">
        <v>18</v>
      </c>
      <c r="C159" t="s">
        <v>19</v>
      </c>
      <c r="D159" t="s">
        <v>66</v>
      </c>
      <c r="E159" t="s">
        <v>21</v>
      </c>
      <c r="F159" s="2">
        <v>1157.3399999999999</v>
      </c>
      <c r="G159" s="3">
        <v>45</v>
      </c>
      <c r="H159" s="3">
        <v>44</v>
      </c>
      <c r="I159" s="3">
        <v>1</v>
      </c>
      <c r="J159" s="3">
        <v>55</v>
      </c>
      <c r="K159" s="3">
        <v>25</v>
      </c>
      <c r="L159" t="s">
        <v>23</v>
      </c>
      <c r="M159" s="3">
        <v>3</v>
      </c>
      <c r="N159" t="s">
        <v>23</v>
      </c>
      <c r="O159" t="s">
        <v>22</v>
      </c>
      <c r="P159" t="s">
        <v>24</v>
      </c>
      <c r="Q159" t="s">
        <v>23</v>
      </c>
    </row>
    <row r="160" spans="1:17">
      <c r="A160" t="s">
        <v>207</v>
      </c>
      <c r="B160" t="s">
        <v>46</v>
      </c>
      <c r="C160" t="s">
        <v>31</v>
      </c>
      <c r="D160" t="s">
        <v>66</v>
      </c>
      <c r="E160" t="s">
        <v>53</v>
      </c>
      <c r="F160" s="2">
        <v>76527.94</v>
      </c>
      <c r="G160" s="3">
        <v>30</v>
      </c>
      <c r="H160" s="3">
        <v>14</v>
      </c>
      <c r="I160" s="3">
        <v>2</v>
      </c>
      <c r="J160" s="3">
        <v>45</v>
      </c>
      <c r="K160" s="3">
        <v>100</v>
      </c>
      <c r="L160" t="s">
        <v>22</v>
      </c>
      <c r="M160" s="3">
        <v>1</v>
      </c>
      <c r="N160" t="s">
        <v>23</v>
      </c>
      <c r="O160" t="s">
        <v>23</v>
      </c>
      <c r="P160" t="s">
        <v>28</v>
      </c>
      <c r="Q160" t="s">
        <v>22</v>
      </c>
    </row>
    <row r="161" spans="1:17">
      <c r="A161" t="s">
        <v>208</v>
      </c>
      <c r="B161" t="s">
        <v>18</v>
      </c>
      <c r="C161" t="s">
        <v>37</v>
      </c>
      <c r="D161" t="s">
        <v>20</v>
      </c>
      <c r="E161" t="s">
        <v>103</v>
      </c>
      <c r="F161" s="2">
        <v>2903.75</v>
      </c>
      <c r="G161" s="3">
        <v>45</v>
      </c>
      <c r="H161" s="3">
        <v>38</v>
      </c>
      <c r="I161" s="3">
        <v>1</v>
      </c>
      <c r="J161" s="3">
        <v>50</v>
      </c>
      <c r="K161" s="3">
        <v>155</v>
      </c>
      <c r="L161" t="s">
        <v>22</v>
      </c>
      <c r="M161" s="3">
        <v>1</v>
      </c>
      <c r="N161" t="s">
        <v>23</v>
      </c>
      <c r="O161" t="s">
        <v>22</v>
      </c>
      <c r="P161" t="s">
        <v>24</v>
      </c>
      <c r="Q161" t="s">
        <v>22</v>
      </c>
    </row>
    <row r="162" spans="1:17">
      <c r="A162" t="s">
        <v>209</v>
      </c>
      <c r="B162" t="s">
        <v>46</v>
      </c>
      <c r="C162" t="s">
        <v>37</v>
      </c>
      <c r="D162" t="s">
        <v>38</v>
      </c>
      <c r="E162" t="s">
        <v>85</v>
      </c>
      <c r="F162" s="2">
        <v>54948.03</v>
      </c>
      <c r="G162" s="3">
        <v>45</v>
      </c>
      <c r="H162" s="3">
        <v>83</v>
      </c>
      <c r="I162" s="3">
        <v>0</v>
      </c>
      <c r="J162" s="3">
        <v>48</v>
      </c>
      <c r="K162" s="3">
        <v>110</v>
      </c>
      <c r="L162" t="s">
        <v>22</v>
      </c>
      <c r="M162" s="3">
        <v>1</v>
      </c>
      <c r="N162" t="s">
        <v>23</v>
      </c>
      <c r="O162" t="s">
        <v>22</v>
      </c>
      <c r="P162" t="s">
        <v>24</v>
      </c>
      <c r="Q162" t="s">
        <v>22</v>
      </c>
    </row>
    <row r="163" spans="1:17">
      <c r="A163" t="s">
        <v>210</v>
      </c>
      <c r="B163" t="s">
        <v>18</v>
      </c>
      <c r="C163" t="s">
        <v>55</v>
      </c>
      <c r="D163" t="s">
        <v>27</v>
      </c>
      <c r="E163" t="s">
        <v>50</v>
      </c>
      <c r="F163" s="2">
        <v>837.5</v>
      </c>
      <c r="G163" s="3">
        <v>30</v>
      </c>
      <c r="H163" s="3">
        <v>19</v>
      </c>
      <c r="I163" s="3">
        <v>0</v>
      </c>
      <c r="J163" s="3">
        <v>42</v>
      </c>
      <c r="K163" s="3">
        <v>23</v>
      </c>
      <c r="L163" t="s">
        <v>22</v>
      </c>
      <c r="M163" s="3">
        <v>0</v>
      </c>
      <c r="N163" t="s">
        <v>23</v>
      </c>
      <c r="O163" t="s">
        <v>22</v>
      </c>
      <c r="P163" t="s">
        <v>24</v>
      </c>
      <c r="Q163" t="s">
        <v>22</v>
      </c>
    </row>
    <row r="164" spans="1:17">
      <c r="A164" t="s">
        <v>211</v>
      </c>
      <c r="B164" t="s">
        <v>30</v>
      </c>
      <c r="C164" t="s">
        <v>52</v>
      </c>
      <c r="D164" t="s">
        <v>27</v>
      </c>
      <c r="E164" t="s">
        <v>58</v>
      </c>
      <c r="F164" s="2">
        <v>31463.9</v>
      </c>
      <c r="G164" s="3">
        <v>30</v>
      </c>
      <c r="H164" s="3">
        <v>53</v>
      </c>
      <c r="I164" s="3">
        <v>0</v>
      </c>
      <c r="J164" s="3">
        <v>30</v>
      </c>
      <c r="K164" s="3">
        <v>10</v>
      </c>
      <c r="L164" t="s">
        <v>22</v>
      </c>
      <c r="M164" s="3">
        <v>0</v>
      </c>
      <c r="N164" t="s">
        <v>23</v>
      </c>
      <c r="O164" t="s">
        <v>22</v>
      </c>
      <c r="P164" t="s">
        <v>28</v>
      </c>
      <c r="Q164" t="s">
        <v>22</v>
      </c>
    </row>
    <row r="165" spans="1:17">
      <c r="A165" t="s">
        <v>212</v>
      </c>
      <c r="B165" t="s">
        <v>18</v>
      </c>
      <c r="C165" t="s">
        <v>55</v>
      </c>
      <c r="D165" t="s">
        <v>42</v>
      </c>
      <c r="E165" t="s">
        <v>21</v>
      </c>
      <c r="F165" s="2">
        <v>3885.76</v>
      </c>
      <c r="G165" s="3">
        <v>45</v>
      </c>
      <c r="H165" s="3">
        <v>46</v>
      </c>
      <c r="I165" s="3">
        <v>1</v>
      </c>
      <c r="J165" s="3">
        <v>60</v>
      </c>
      <c r="K165" s="3">
        <v>80</v>
      </c>
      <c r="L165" t="s">
        <v>22</v>
      </c>
      <c r="M165" s="3">
        <v>1</v>
      </c>
      <c r="N165" t="s">
        <v>23</v>
      </c>
      <c r="O165" t="s">
        <v>22</v>
      </c>
      <c r="P165" t="s">
        <v>35</v>
      </c>
      <c r="Q165" t="s">
        <v>23</v>
      </c>
    </row>
    <row r="166" spans="1:17">
      <c r="A166" t="s">
        <v>213</v>
      </c>
      <c r="B166" t="s">
        <v>30</v>
      </c>
      <c r="C166" t="s">
        <v>26</v>
      </c>
      <c r="D166" t="s">
        <v>42</v>
      </c>
      <c r="E166" t="s">
        <v>48</v>
      </c>
      <c r="F166" s="2">
        <v>9964.35</v>
      </c>
      <c r="G166" s="3">
        <v>30</v>
      </c>
      <c r="H166" s="3">
        <v>53</v>
      </c>
      <c r="I166" s="3">
        <v>0</v>
      </c>
      <c r="J166" s="3">
        <v>24</v>
      </c>
      <c r="K166" s="3">
        <v>18</v>
      </c>
      <c r="L166" t="s">
        <v>22</v>
      </c>
      <c r="M166" s="3">
        <v>0</v>
      </c>
      <c r="N166" t="s">
        <v>23</v>
      </c>
      <c r="O166" t="s">
        <v>22</v>
      </c>
      <c r="P166" t="s">
        <v>24</v>
      </c>
      <c r="Q166" t="s">
        <v>22</v>
      </c>
    </row>
    <row r="167" spans="1:17">
      <c r="A167" t="s">
        <v>214</v>
      </c>
      <c r="B167" t="s">
        <v>30</v>
      </c>
      <c r="C167" t="s">
        <v>19</v>
      </c>
      <c r="D167" t="s">
        <v>27</v>
      </c>
      <c r="E167" t="s">
        <v>48</v>
      </c>
      <c r="F167" s="2">
        <v>11000.4</v>
      </c>
      <c r="G167" s="3">
        <v>15</v>
      </c>
      <c r="H167" s="3">
        <v>19</v>
      </c>
      <c r="I167" s="3">
        <v>1</v>
      </c>
      <c r="J167" s="3">
        <v>15</v>
      </c>
      <c r="K167" s="3">
        <v>159</v>
      </c>
      <c r="L167" t="s">
        <v>22</v>
      </c>
      <c r="M167" s="3">
        <v>0</v>
      </c>
      <c r="N167" t="s">
        <v>22</v>
      </c>
      <c r="O167" t="s">
        <v>22</v>
      </c>
      <c r="P167" t="s">
        <v>24</v>
      </c>
      <c r="Q167" t="s">
        <v>22</v>
      </c>
    </row>
    <row r="168" spans="1:17">
      <c r="A168" t="s">
        <v>215</v>
      </c>
      <c r="B168" t="s">
        <v>30</v>
      </c>
      <c r="C168" t="s">
        <v>26</v>
      </c>
      <c r="D168" t="s">
        <v>47</v>
      </c>
      <c r="E168" t="s">
        <v>48</v>
      </c>
      <c r="F168" s="2">
        <v>17429.25</v>
      </c>
      <c r="G168" s="3">
        <v>15</v>
      </c>
      <c r="H168" s="3">
        <v>57</v>
      </c>
      <c r="I168" s="3">
        <v>1</v>
      </c>
      <c r="J168" s="3">
        <v>33</v>
      </c>
      <c r="K168" s="3">
        <v>131</v>
      </c>
      <c r="L168" t="s">
        <v>22</v>
      </c>
      <c r="M168" s="3">
        <v>2</v>
      </c>
      <c r="N168" t="s">
        <v>23</v>
      </c>
      <c r="O168" t="s">
        <v>22</v>
      </c>
      <c r="P168" t="s">
        <v>28</v>
      </c>
      <c r="Q168" t="s">
        <v>23</v>
      </c>
    </row>
    <row r="169" spans="1:17">
      <c r="A169" t="s">
        <v>216</v>
      </c>
      <c r="B169" t="s">
        <v>46</v>
      </c>
      <c r="C169" t="s">
        <v>26</v>
      </c>
      <c r="D169" t="s">
        <v>66</v>
      </c>
      <c r="E169" t="s">
        <v>50</v>
      </c>
      <c r="F169" s="2">
        <v>84326.7</v>
      </c>
      <c r="G169" s="3">
        <v>30</v>
      </c>
      <c r="H169" s="3">
        <v>34</v>
      </c>
      <c r="I169" s="3">
        <v>0</v>
      </c>
      <c r="J169" s="3">
        <v>49</v>
      </c>
      <c r="K169" s="3">
        <v>117</v>
      </c>
      <c r="L169" t="s">
        <v>22</v>
      </c>
      <c r="M169" s="3">
        <v>1</v>
      </c>
      <c r="N169" t="s">
        <v>23</v>
      </c>
      <c r="O169" t="s">
        <v>22</v>
      </c>
      <c r="P169" t="s">
        <v>28</v>
      </c>
      <c r="Q169" t="s">
        <v>23</v>
      </c>
    </row>
    <row r="170" spans="1:17">
      <c r="A170" t="s">
        <v>217</v>
      </c>
      <c r="B170" t="s">
        <v>46</v>
      </c>
      <c r="C170" t="s">
        <v>37</v>
      </c>
      <c r="D170" t="s">
        <v>38</v>
      </c>
      <c r="E170" t="s">
        <v>60</v>
      </c>
      <c r="F170" s="2">
        <v>82533.570000000007</v>
      </c>
      <c r="G170" s="3">
        <v>45</v>
      </c>
      <c r="H170" s="3">
        <v>114</v>
      </c>
      <c r="I170" s="3">
        <v>0</v>
      </c>
      <c r="J170" s="3">
        <v>56</v>
      </c>
      <c r="K170" s="3">
        <v>7</v>
      </c>
      <c r="L170" t="s">
        <v>22</v>
      </c>
      <c r="M170" s="3">
        <v>2</v>
      </c>
      <c r="N170" t="s">
        <v>23</v>
      </c>
      <c r="O170" t="s">
        <v>23</v>
      </c>
      <c r="P170" t="s">
        <v>28</v>
      </c>
      <c r="Q170" t="s">
        <v>22</v>
      </c>
    </row>
    <row r="171" spans="1:17">
      <c r="A171" t="s">
        <v>218</v>
      </c>
      <c r="B171" t="s">
        <v>30</v>
      </c>
      <c r="C171" t="s">
        <v>52</v>
      </c>
      <c r="D171" t="s">
        <v>66</v>
      </c>
      <c r="E171" t="s">
        <v>85</v>
      </c>
      <c r="F171" s="2">
        <v>29935.62</v>
      </c>
      <c r="G171" s="3">
        <v>30</v>
      </c>
      <c r="H171" s="3">
        <v>11</v>
      </c>
      <c r="I171" s="3">
        <v>1</v>
      </c>
      <c r="J171" s="3">
        <v>39</v>
      </c>
      <c r="K171" s="3">
        <v>132</v>
      </c>
      <c r="L171" t="s">
        <v>22</v>
      </c>
      <c r="M171" s="3">
        <v>0</v>
      </c>
      <c r="N171" t="s">
        <v>23</v>
      </c>
      <c r="O171" t="s">
        <v>22</v>
      </c>
      <c r="P171" t="s">
        <v>35</v>
      </c>
      <c r="Q171" t="s">
        <v>23</v>
      </c>
    </row>
    <row r="172" spans="1:17">
      <c r="A172" t="s">
        <v>219</v>
      </c>
      <c r="B172" t="s">
        <v>18</v>
      </c>
      <c r="C172" t="s">
        <v>19</v>
      </c>
      <c r="D172" t="s">
        <v>27</v>
      </c>
      <c r="E172" t="s">
        <v>60</v>
      </c>
      <c r="F172" s="2">
        <v>5026.3999999999996</v>
      </c>
      <c r="G172" s="3">
        <v>30</v>
      </c>
      <c r="H172" s="3">
        <v>12</v>
      </c>
      <c r="I172" s="3">
        <v>0</v>
      </c>
      <c r="J172" s="3">
        <v>19</v>
      </c>
      <c r="K172" s="3">
        <v>35</v>
      </c>
      <c r="L172" t="s">
        <v>22</v>
      </c>
      <c r="M172" s="3">
        <v>1</v>
      </c>
      <c r="N172" t="s">
        <v>22</v>
      </c>
      <c r="O172" t="s">
        <v>23</v>
      </c>
      <c r="P172" t="s">
        <v>28</v>
      </c>
      <c r="Q172" t="s">
        <v>23</v>
      </c>
    </row>
    <row r="173" spans="1:17">
      <c r="A173" t="s">
        <v>220</v>
      </c>
      <c r="B173" t="s">
        <v>30</v>
      </c>
      <c r="C173" t="s">
        <v>37</v>
      </c>
      <c r="D173" t="s">
        <v>27</v>
      </c>
      <c r="E173" t="s">
        <v>40</v>
      </c>
      <c r="F173" s="2">
        <v>29772.62</v>
      </c>
      <c r="G173" s="3">
        <v>45</v>
      </c>
      <c r="H173" s="3">
        <v>55</v>
      </c>
      <c r="I173" s="3">
        <v>1</v>
      </c>
      <c r="J173" s="3">
        <v>48</v>
      </c>
      <c r="K173" s="3">
        <v>72</v>
      </c>
      <c r="L173" t="s">
        <v>22</v>
      </c>
      <c r="M173" s="3">
        <v>0</v>
      </c>
      <c r="N173" t="s">
        <v>23</v>
      </c>
      <c r="O173" t="s">
        <v>22</v>
      </c>
      <c r="P173" t="s">
        <v>28</v>
      </c>
      <c r="Q173" t="s">
        <v>22</v>
      </c>
    </row>
    <row r="174" spans="1:17">
      <c r="A174" t="s">
        <v>221</v>
      </c>
      <c r="B174" t="s">
        <v>18</v>
      </c>
      <c r="C174" t="s">
        <v>31</v>
      </c>
      <c r="D174" t="s">
        <v>42</v>
      </c>
      <c r="E174" t="s">
        <v>32</v>
      </c>
      <c r="F174" s="2">
        <v>5756.64</v>
      </c>
      <c r="G174" s="3">
        <v>45</v>
      </c>
      <c r="H174" s="3">
        <v>39</v>
      </c>
      <c r="I174" s="3">
        <v>0</v>
      </c>
      <c r="J174" s="3">
        <v>46</v>
      </c>
      <c r="K174" s="3">
        <v>150</v>
      </c>
      <c r="L174" t="s">
        <v>22</v>
      </c>
      <c r="M174" s="3">
        <v>1</v>
      </c>
      <c r="N174" t="s">
        <v>23</v>
      </c>
      <c r="O174" t="s">
        <v>22</v>
      </c>
      <c r="P174" t="s">
        <v>24</v>
      </c>
      <c r="Q174" t="s">
        <v>22</v>
      </c>
    </row>
    <row r="175" spans="1:17">
      <c r="A175" t="s">
        <v>222</v>
      </c>
      <c r="B175" t="s">
        <v>30</v>
      </c>
      <c r="C175" t="s">
        <v>55</v>
      </c>
      <c r="D175" t="s">
        <v>27</v>
      </c>
      <c r="E175" t="s">
        <v>58</v>
      </c>
      <c r="F175" s="2">
        <v>6932.39</v>
      </c>
      <c r="G175" s="3">
        <v>45</v>
      </c>
      <c r="H175" s="3">
        <v>75</v>
      </c>
      <c r="I175" s="3">
        <v>2</v>
      </c>
      <c r="J175" s="3">
        <v>56</v>
      </c>
      <c r="K175" s="3">
        <v>128</v>
      </c>
      <c r="L175" t="s">
        <v>22</v>
      </c>
      <c r="M175" s="3">
        <v>3</v>
      </c>
      <c r="N175" t="s">
        <v>23</v>
      </c>
      <c r="O175" t="s">
        <v>23</v>
      </c>
      <c r="P175" t="s">
        <v>24</v>
      </c>
      <c r="Q175" t="s">
        <v>23</v>
      </c>
    </row>
    <row r="176" spans="1:17">
      <c r="A176" t="s">
        <v>223</v>
      </c>
      <c r="B176" t="s">
        <v>18</v>
      </c>
      <c r="C176" t="s">
        <v>55</v>
      </c>
      <c r="D176" t="s">
        <v>66</v>
      </c>
      <c r="E176" t="s">
        <v>43</v>
      </c>
      <c r="F176" s="2">
        <v>3404.85</v>
      </c>
      <c r="G176" s="3">
        <v>15</v>
      </c>
      <c r="H176" s="3">
        <v>26</v>
      </c>
      <c r="I176" s="3">
        <v>1</v>
      </c>
      <c r="J176" s="3">
        <v>38</v>
      </c>
      <c r="K176" s="3">
        <v>141</v>
      </c>
      <c r="L176" t="s">
        <v>22</v>
      </c>
      <c r="M176" s="3">
        <v>0</v>
      </c>
      <c r="N176" t="s">
        <v>23</v>
      </c>
      <c r="O176" t="s">
        <v>23</v>
      </c>
      <c r="P176" t="s">
        <v>35</v>
      </c>
      <c r="Q176" t="s">
        <v>22</v>
      </c>
    </row>
    <row r="177" spans="1:17">
      <c r="A177" t="s">
        <v>224</v>
      </c>
      <c r="B177" t="s">
        <v>18</v>
      </c>
      <c r="C177" t="s">
        <v>37</v>
      </c>
      <c r="D177" t="s">
        <v>42</v>
      </c>
      <c r="E177" t="s">
        <v>40</v>
      </c>
      <c r="F177" s="2">
        <v>7483.02</v>
      </c>
      <c r="G177" s="3">
        <v>30</v>
      </c>
      <c r="H177" s="3">
        <v>6</v>
      </c>
      <c r="I177" s="3">
        <v>0</v>
      </c>
      <c r="J177" s="3">
        <v>38</v>
      </c>
      <c r="K177" s="3">
        <v>168</v>
      </c>
      <c r="L177" t="s">
        <v>22</v>
      </c>
      <c r="M177" s="3">
        <v>1</v>
      </c>
      <c r="N177" t="s">
        <v>23</v>
      </c>
      <c r="O177" t="s">
        <v>22</v>
      </c>
      <c r="P177" t="s">
        <v>28</v>
      </c>
      <c r="Q177" t="s">
        <v>23</v>
      </c>
    </row>
    <row r="178" spans="1:17">
      <c r="A178" t="s">
        <v>225</v>
      </c>
      <c r="B178" t="s">
        <v>46</v>
      </c>
      <c r="C178" t="s">
        <v>37</v>
      </c>
      <c r="D178" t="s">
        <v>42</v>
      </c>
      <c r="E178" t="s">
        <v>53</v>
      </c>
      <c r="F178" s="2">
        <v>68970.679999999993</v>
      </c>
      <c r="G178" s="3">
        <v>30</v>
      </c>
      <c r="H178" s="3">
        <v>67</v>
      </c>
      <c r="I178" s="3">
        <v>2</v>
      </c>
      <c r="J178" s="3">
        <v>40</v>
      </c>
      <c r="K178" s="3">
        <v>76</v>
      </c>
      <c r="L178" t="s">
        <v>22</v>
      </c>
      <c r="M178" s="3">
        <v>0</v>
      </c>
      <c r="N178" t="s">
        <v>23</v>
      </c>
      <c r="O178" t="s">
        <v>23</v>
      </c>
      <c r="P178" t="s">
        <v>24</v>
      </c>
      <c r="Q178" t="s">
        <v>22</v>
      </c>
    </row>
    <row r="179" spans="1:17">
      <c r="A179" t="s">
        <v>226</v>
      </c>
      <c r="B179" t="s">
        <v>46</v>
      </c>
      <c r="C179" t="s">
        <v>31</v>
      </c>
      <c r="D179" t="s">
        <v>20</v>
      </c>
      <c r="E179" t="s">
        <v>43</v>
      </c>
      <c r="F179" s="2">
        <v>50454.71</v>
      </c>
      <c r="G179" s="3">
        <v>45</v>
      </c>
      <c r="H179" s="3">
        <v>89</v>
      </c>
      <c r="I179" s="3">
        <v>0</v>
      </c>
      <c r="J179" s="3">
        <v>52</v>
      </c>
      <c r="K179" s="3">
        <v>135</v>
      </c>
      <c r="L179" t="s">
        <v>22</v>
      </c>
      <c r="M179" s="3">
        <v>0</v>
      </c>
      <c r="N179" t="s">
        <v>23</v>
      </c>
      <c r="O179" t="s">
        <v>22</v>
      </c>
      <c r="P179" t="s">
        <v>28</v>
      </c>
      <c r="Q179" t="s">
        <v>23</v>
      </c>
    </row>
    <row r="180" spans="1:17">
      <c r="A180" t="s">
        <v>227</v>
      </c>
      <c r="B180" t="s">
        <v>30</v>
      </c>
      <c r="C180" t="s">
        <v>55</v>
      </c>
      <c r="D180" t="s">
        <v>20</v>
      </c>
      <c r="E180" t="s">
        <v>53</v>
      </c>
      <c r="F180" s="2">
        <v>24129.97</v>
      </c>
      <c r="G180" s="3">
        <v>30</v>
      </c>
      <c r="H180" s="3">
        <v>23</v>
      </c>
      <c r="I180" s="3">
        <v>0</v>
      </c>
      <c r="J180" s="3">
        <v>30</v>
      </c>
      <c r="K180" s="3">
        <v>118</v>
      </c>
      <c r="L180" t="s">
        <v>22</v>
      </c>
      <c r="M180" s="3">
        <v>0</v>
      </c>
      <c r="N180" t="s">
        <v>23</v>
      </c>
      <c r="O180" t="s">
        <v>23</v>
      </c>
      <c r="P180" t="s">
        <v>28</v>
      </c>
      <c r="Q180" t="s">
        <v>22</v>
      </c>
    </row>
    <row r="181" spans="1:17">
      <c r="A181" t="s">
        <v>228</v>
      </c>
      <c r="B181" t="s">
        <v>18</v>
      </c>
      <c r="C181" t="s">
        <v>31</v>
      </c>
      <c r="D181" t="s">
        <v>20</v>
      </c>
      <c r="E181" t="s">
        <v>85</v>
      </c>
      <c r="F181" s="2">
        <v>6428.6</v>
      </c>
      <c r="G181" s="3">
        <v>30</v>
      </c>
      <c r="H181" s="3">
        <v>27</v>
      </c>
      <c r="I181" s="3">
        <v>0</v>
      </c>
      <c r="J181" s="3">
        <v>34</v>
      </c>
      <c r="K181" s="3">
        <v>78</v>
      </c>
      <c r="L181" t="s">
        <v>23</v>
      </c>
      <c r="M181" s="3">
        <v>1</v>
      </c>
      <c r="N181" t="s">
        <v>23</v>
      </c>
      <c r="O181" t="s">
        <v>22</v>
      </c>
      <c r="P181" t="s">
        <v>28</v>
      </c>
      <c r="Q181" t="s">
        <v>22</v>
      </c>
    </row>
    <row r="182" spans="1:17">
      <c r="A182" t="s">
        <v>229</v>
      </c>
      <c r="B182" t="s">
        <v>18</v>
      </c>
      <c r="C182" t="s">
        <v>19</v>
      </c>
      <c r="D182" t="s">
        <v>42</v>
      </c>
      <c r="E182" t="s">
        <v>103</v>
      </c>
      <c r="F182" s="2">
        <v>1129.5899999999999</v>
      </c>
      <c r="G182" s="3">
        <v>30</v>
      </c>
      <c r="H182" s="3">
        <v>32</v>
      </c>
      <c r="I182" s="3">
        <v>2</v>
      </c>
      <c r="J182" s="3">
        <v>49</v>
      </c>
      <c r="K182" s="3">
        <v>20</v>
      </c>
      <c r="L182" t="s">
        <v>23</v>
      </c>
      <c r="M182" s="3">
        <v>4</v>
      </c>
      <c r="N182" t="s">
        <v>23</v>
      </c>
      <c r="O182" t="s">
        <v>23</v>
      </c>
      <c r="P182" t="s">
        <v>24</v>
      </c>
      <c r="Q182" t="s">
        <v>23</v>
      </c>
    </row>
    <row r="183" spans="1:17">
      <c r="A183" t="s">
        <v>230</v>
      </c>
      <c r="B183" t="s">
        <v>46</v>
      </c>
      <c r="C183" t="s">
        <v>37</v>
      </c>
      <c r="D183" t="s">
        <v>66</v>
      </c>
      <c r="E183" t="s">
        <v>53</v>
      </c>
      <c r="F183" s="2">
        <v>47235.34</v>
      </c>
      <c r="G183" s="3">
        <v>30</v>
      </c>
      <c r="H183" s="3">
        <v>96</v>
      </c>
      <c r="I183" s="3">
        <v>1</v>
      </c>
      <c r="J183" s="3">
        <v>42</v>
      </c>
      <c r="K183" s="3">
        <v>65</v>
      </c>
      <c r="L183" t="s">
        <v>22</v>
      </c>
      <c r="M183" s="3">
        <v>1</v>
      </c>
      <c r="N183" t="s">
        <v>22</v>
      </c>
      <c r="O183" t="s">
        <v>22</v>
      </c>
      <c r="P183" t="s">
        <v>24</v>
      </c>
      <c r="Q183" t="s">
        <v>23</v>
      </c>
    </row>
    <row r="184" spans="1:17">
      <c r="A184" t="s">
        <v>231</v>
      </c>
      <c r="B184" t="s">
        <v>18</v>
      </c>
      <c r="C184" t="s">
        <v>19</v>
      </c>
      <c r="D184" t="s">
        <v>42</v>
      </c>
      <c r="E184" t="s">
        <v>34</v>
      </c>
      <c r="F184" s="2">
        <v>5716.57</v>
      </c>
      <c r="G184" s="3">
        <v>15</v>
      </c>
      <c r="H184" s="3">
        <v>45</v>
      </c>
      <c r="I184" s="3">
        <v>2</v>
      </c>
      <c r="J184" s="3">
        <v>34</v>
      </c>
      <c r="K184" s="3">
        <v>64</v>
      </c>
      <c r="L184" t="s">
        <v>22</v>
      </c>
      <c r="M184" s="3">
        <v>1</v>
      </c>
      <c r="N184" t="s">
        <v>22</v>
      </c>
      <c r="O184" t="s">
        <v>22</v>
      </c>
      <c r="P184" t="s">
        <v>24</v>
      </c>
      <c r="Q184" t="s">
        <v>23</v>
      </c>
    </row>
    <row r="185" spans="1:17">
      <c r="A185" t="s">
        <v>232</v>
      </c>
      <c r="B185" t="s">
        <v>46</v>
      </c>
      <c r="C185" t="s">
        <v>31</v>
      </c>
      <c r="D185" t="s">
        <v>42</v>
      </c>
      <c r="E185" t="s">
        <v>60</v>
      </c>
      <c r="F185" s="2">
        <v>74059.759999999995</v>
      </c>
      <c r="G185" s="3">
        <v>30</v>
      </c>
      <c r="H185" s="3">
        <v>107</v>
      </c>
      <c r="I185" s="3">
        <v>1</v>
      </c>
      <c r="J185" s="3">
        <v>33</v>
      </c>
      <c r="K185" s="3">
        <v>133</v>
      </c>
      <c r="L185" t="s">
        <v>22</v>
      </c>
      <c r="M185" s="3">
        <v>0</v>
      </c>
      <c r="N185" t="s">
        <v>22</v>
      </c>
      <c r="O185" t="s">
        <v>23</v>
      </c>
      <c r="P185" t="s">
        <v>28</v>
      </c>
      <c r="Q185" t="s">
        <v>22</v>
      </c>
    </row>
    <row r="186" spans="1:17">
      <c r="A186" t="s">
        <v>233</v>
      </c>
      <c r="B186" t="s">
        <v>46</v>
      </c>
      <c r="C186" t="s">
        <v>55</v>
      </c>
      <c r="D186" t="s">
        <v>66</v>
      </c>
      <c r="E186" t="s">
        <v>50</v>
      </c>
      <c r="F186" s="2">
        <v>80181.83</v>
      </c>
      <c r="G186" s="3">
        <v>30</v>
      </c>
      <c r="H186" s="3">
        <v>14</v>
      </c>
      <c r="I186" s="3">
        <v>0</v>
      </c>
      <c r="J186" s="3">
        <v>44</v>
      </c>
      <c r="K186" s="3">
        <v>41</v>
      </c>
      <c r="L186" t="s">
        <v>22</v>
      </c>
      <c r="M186" s="3">
        <v>1</v>
      </c>
      <c r="N186" t="s">
        <v>22</v>
      </c>
      <c r="O186" t="s">
        <v>22</v>
      </c>
      <c r="P186" t="s">
        <v>28</v>
      </c>
      <c r="Q186" t="s">
        <v>23</v>
      </c>
    </row>
    <row r="187" spans="1:17">
      <c r="A187" t="s">
        <v>234</v>
      </c>
      <c r="B187" t="s">
        <v>46</v>
      </c>
      <c r="C187" t="s">
        <v>37</v>
      </c>
      <c r="D187" t="s">
        <v>42</v>
      </c>
      <c r="E187" t="s">
        <v>103</v>
      </c>
      <c r="F187" s="2">
        <v>80420.350000000006</v>
      </c>
      <c r="G187" s="3">
        <v>30</v>
      </c>
      <c r="H187" s="3">
        <v>113</v>
      </c>
      <c r="I187" s="3">
        <v>0</v>
      </c>
      <c r="J187" s="3">
        <v>30</v>
      </c>
      <c r="K187" s="3">
        <v>57</v>
      </c>
      <c r="L187" t="s">
        <v>22</v>
      </c>
      <c r="M187" s="3">
        <v>0</v>
      </c>
      <c r="N187" t="s">
        <v>23</v>
      </c>
      <c r="O187" t="s">
        <v>22</v>
      </c>
      <c r="P187" t="s">
        <v>35</v>
      </c>
      <c r="Q187" t="s">
        <v>22</v>
      </c>
    </row>
    <row r="188" spans="1:17">
      <c r="A188" t="s">
        <v>235</v>
      </c>
      <c r="B188" t="s">
        <v>18</v>
      </c>
      <c r="C188" t="s">
        <v>55</v>
      </c>
      <c r="D188" t="s">
        <v>38</v>
      </c>
      <c r="E188" t="s">
        <v>40</v>
      </c>
      <c r="F188" s="2">
        <v>6149.78</v>
      </c>
      <c r="G188" s="3">
        <v>45</v>
      </c>
      <c r="H188" s="3">
        <v>12</v>
      </c>
      <c r="I188" s="3">
        <v>1</v>
      </c>
      <c r="J188" s="3">
        <v>38</v>
      </c>
      <c r="K188" s="3">
        <v>101</v>
      </c>
      <c r="L188" t="s">
        <v>22</v>
      </c>
      <c r="M188" s="3">
        <v>0</v>
      </c>
      <c r="N188" t="s">
        <v>23</v>
      </c>
      <c r="O188" t="s">
        <v>22</v>
      </c>
      <c r="P188" t="s">
        <v>28</v>
      </c>
      <c r="Q188" t="s">
        <v>22</v>
      </c>
    </row>
    <row r="189" spans="1:17">
      <c r="A189" t="s">
        <v>236</v>
      </c>
      <c r="B189" t="s">
        <v>18</v>
      </c>
      <c r="C189" t="s">
        <v>52</v>
      </c>
      <c r="D189" t="s">
        <v>42</v>
      </c>
      <c r="E189" t="s">
        <v>85</v>
      </c>
      <c r="F189" s="2">
        <v>8415.56</v>
      </c>
      <c r="G189" s="3">
        <v>30</v>
      </c>
      <c r="H189" s="3">
        <v>40</v>
      </c>
      <c r="I189" s="3">
        <v>0</v>
      </c>
      <c r="J189" s="3">
        <v>40</v>
      </c>
      <c r="K189" s="3">
        <v>4</v>
      </c>
      <c r="L189" t="s">
        <v>22</v>
      </c>
      <c r="M189" s="3">
        <v>0</v>
      </c>
      <c r="N189" t="s">
        <v>23</v>
      </c>
      <c r="O189" t="s">
        <v>22</v>
      </c>
      <c r="P189" t="s">
        <v>24</v>
      </c>
      <c r="Q189" t="s">
        <v>22</v>
      </c>
    </row>
    <row r="190" spans="1:17">
      <c r="A190" t="s">
        <v>237</v>
      </c>
      <c r="B190" t="s">
        <v>46</v>
      </c>
      <c r="C190" t="s">
        <v>26</v>
      </c>
      <c r="D190" t="s">
        <v>66</v>
      </c>
      <c r="E190" t="s">
        <v>103</v>
      </c>
      <c r="F190" s="2">
        <v>93978.77</v>
      </c>
      <c r="G190" s="3">
        <v>30</v>
      </c>
      <c r="H190" s="3">
        <v>48</v>
      </c>
      <c r="I190" s="3">
        <v>0</v>
      </c>
      <c r="J190" s="3">
        <v>46</v>
      </c>
      <c r="K190" s="3">
        <v>87</v>
      </c>
      <c r="L190" t="s">
        <v>22</v>
      </c>
      <c r="M190" s="3">
        <v>1</v>
      </c>
      <c r="N190" t="s">
        <v>23</v>
      </c>
      <c r="O190" t="s">
        <v>22</v>
      </c>
      <c r="P190" t="s">
        <v>35</v>
      </c>
      <c r="Q190" t="s">
        <v>23</v>
      </c>
    </row>
    <row r="191" spans="1:17">
      <c r="A191" t="s">
        <v>238</v>
      </c>
      <c r="B191" t="s">
        <v>18</v>
      </c>
      <c r="C191" t="s">
        <v>31</v>
      </c>
      <c r="D191" t="s">
        <v>66</v>
      </c>
      <c r="E191" t="s">
        <v>21</v>
      </c>
      <c r="F191" s="2">
        <v>1277.3</v>
      </c>
      <c r="G191" s="3">
        <v>15</v>
      </c>
      <c r="H191" s="3">
        <v>9</v>
      </c>
      <c r="I191" s="3">
        <v>1</v>
      </c>
      <c r="J191" s="3">
        <v>31</v>
      </c>
      <c r="K191" s="3">
        <v>12</v>
      </c>
      <c r="L191" t="s">
        <v>22</v>
      </c>
      <c r="M191" s="3">
        <v>2</v>
      </c>
      <c r="N191" t="s">
        <v>22</v>
      </c>
      <c r="O191" t="s">
        <v>22</v>
      </c>
      <c r="P191" t="s">
        <v>24</v>
      </c>
      <c r="Q191" t="s">
        <v>22</v>
      </c>
    </row>
    <row r="192" spans="1:17">
      <c r="A192" t="s">
        <v>239</v>
      </c>
      <c r="B192" t="s">
        <v>46</v>
      </c>
      <c r="C192" t="s">
        <v>19</v>
      </c>
      <c r="D192" t="s">
        <v>47</v>
      </c>
      <c r="E192" t="s">
        <v>85</v>
      </c>
      <c r="F192" s="2">
        <v>25341.73</v>
      </c>
      <c r="G192" s="3">
        <v>15</v>
      </c>
      <c r="H192" s="3">
        <v>68</v>
      </c>
      <c r="I192" s="3">
        <v>1</v>
      </c>
      <c r="J192" s="3">
        <v>33</v>
      </c>
      <c r="K192" s="3">
        <v>44</v>
      </c>
      <c r="L192" t="s">
        <v>22</v>
      </c>
      <c r="M192" s="3">
        <v>1</v>
      </c>
      <c r="N192" t="s">
        <v>23</v>
      </c>
      <c r="O192" t="s">
        <v>22</v>
      </c>
      <c r="P192" t="s">
        <v>24</v>
      </c>
      <c r="Q192" t="s">
        <v>22</v>
      </c>
    </row>
    <row r="193" spans="1:17">
      <c r="A193" t="s">
        <v>240</v>
      </c>
      <c r="B193" t="s">
        <v>30</v>
      </c>
      <c r="C193" t="s">
        <v>55</v>
      </c>
      <c r="D193" t="s">
        <v>42</v>
      </c>
      <c r="E193" t="s">
        <v>53</v>
      </c>
      <c r="F193" s="2">
        <v>26473.15</v>
      </c>
      <c r="G193" s="3">
        <v>45</v>
      </c>
      <c r="H193" s="3">
        <v>49</v>
      </c>
      <c r="I193" s="3">
        <v>0</v>
      </c>
      <c r="J193" s="3">
        <v>54</v>
      </c>
      <c r="K193" s="3">
        <v>33</v>
      </c>
      <c r="L193" t="s">
        <v>22</v>
      </c>
      <c r="M193" s="3">
        <v>1</v>
      </c>
      <c r="N193" t="s">
        <v>23</v>
      </c>
      <c r="O193" t="s">
        <v>23</v>
      </c>
      <c r="P193" t="s">
        <v>24</v>
      </c>
      <c r="Q193" t="s">
        <v>22</v>
      </c>
    </row>
    <row r="194" spans="1:17">
      <c r="A194" t="s">
        <v>241</v>
      </c>
      <c r="B194" t="s">
        <v>30</v>
      </c>
      <c r="C194" t="s">
        <v>52</v>
      </c>
      <c r="D194" t="s">
        <v>47</v>
      </c>
      <c r="E194" t="s">
        <v>43</v>
      </c>
      <c r="F194" s="2">
        <v>26197.67</v>
      </c>
      <c r="G194" s="3">
        <v>30</v>
      </c>
      <c r="H194" s="3">
        <v>47</v>
      </c>
      <c r="I194" s="3">
        <v>0</v>
      </c>
      <c r="J194" s="3">
        <v>30</v>
      </c>
      <c r="K194" s="3">
        <v>159</v>
      </c>
      <c r="L194" t="s">
        <v>22</v>
      </c>
      <c r="M194" s="3">
        <v>0</v>
      </c>
      <c r="N194" t="s">
        <v>23</v>
      </c>
      <c r="O194" t="s">
        <v>22</v>
      </c>
      <c r="P194" t="s">
        <v>24</v>
      </c>
      <c r="Q194" t="s">
        <v>23</v>
      </c>
    </row>
    <row r="195" spans="1:17">
      <c r="A195" t="s">
        <v>242</v>
      </c>
      <c r="B195" t="s">
        <v>30</v>
      </c>
      <c r="C195" t="s">
        <v>26</v>
      </c>
      <c r="D195" t="s">
        <v>27</v>
      </c>
      <c r="E195" t="s">
        <v>34</v>
      </c>
      <c r="F195" s="2">
        <v>26812.44</v>
      </c>
      <c r="G195" s="3">
        <v>45</v>
      </c>
      <c r="H195" s="3">
        <v>83</v>
      </c>
      <c r="I195" s="3">
        <v>0</v>
      </c>
      <c r="J195" s="3">
        <v>64</v>
      </c>
      <c r="K195" s="3">
        <v>98</v>
      </c>
      <c r="L195" t="s">
        <v>22</v>
      </c>
      <c r="M195" s="3">
        <v>0</v>
      </c>
      <c r="N195" t="s">
        <v>23</v>
      </c>
      <c r="O195" t="s">
        <v>22</v>
      </c>
      <c r="P195" t="s">
        <v>35</v>
      </c>
      <c r="Q195" t="s">
        <v>22</v>
      </c>
    </row>
    <row r="196" spans="1:17">
      <c r="A196" t="s">
        <v>243</v>
      </c>
      <c r="B196" t="s">
        <v>30</v>
      </c>
      <c r="C196" t="s">
        <v>26</v>
      </c>
      <c r="D196" t="s">
        <v>47</v>
      </c>
      <c r="E196" t="s">
        <v>85</v>
      </c>
      <c r="F196" s="2">
        <v>29914.39</v>
      </c>
      <c r="G196" s="3">
        <v>30</v>
      </c>
      <c r="H196" s="3">
        <v>76</v>
      </c>
      <c r="I196" s="3">
        <v>0</v>
      </c>
      <c r="J196" s="3">
        <v>36</v>
      </c>
      <c r="K196" s="3">
        <v>44</v>
      </c>
      <c r="L196" t="s">
        <v>22</v>
      </c>
      <c r="M196" s="3">
        <v>1</v>
      </c>
      <c r="N196" t="s">
        <v>23</v>
      </c>
      <c r="O196" t="s">
        <v>22</v>
      </c>
      <c r="P196" t="s">
        <v>28</v>
      </c>
      <c r="Q196" t="s">
        <v>22</v>
      </c>
    </row>
    <row r="197" spans="1:17">
      <c r="A197" t="s">
        <v>244</v>
      </c>
      <c r="B197" t="s">
        <v>46</v>
      </c>
      <c r="C197" t="s">
        <v>26</v>
      </c>
      <c r="D197" t="s">
        <v>20</v>
      </c>
      <c r="E197" t="s">
        <v>53</v>
      </c>
      <c r="F197" s="2">
        <v>90503.48</v>
      </c>
      <c r="G197" s="3">
        <v>60</v>
      </c>
      <c r="H197" s="3">
        <v>119</v>
      </c>
      <c r="I197" s="3">
        <v>0</v>
      </c>
      <c r="J197" s="3">
        <v>56</v>
      </c>
      <c r="K197" s="3">
        <v>72</v>
      </c>
      <c r="L197" t="s">
        <v>22</v>
      </c>
      <c r="M197" s="3">
        <v>1</v>
      </c>
      <c r="N197" t="s">
        <v>23</v>
      </c>
      <c r="O197" t="s">
        <v>22</v>
      </c>
      <c r="P197" t="s">
        <v>24</v>
      </c>
      <c r="Q197" t="s">
        <v>22</v>
      </c>
    </row>
    <row r="198" spans="1:17">
      <c r="A198" t="s">
        <v>245</v>
      </c>
      <c r="B198" t="s">
        <v>30</v>
      </c>
      <c r="C198" t="s">
        <v>55</v>
      </c>
      <c r="D198" t="s">
        <v>27</v>
      </c>
      <c r="E198" t="s">
        <v>40</v>
      </c>
      <c r="F198" s="2">
        <v>27630.5</v>
      </c>
      <c r="G198" s="3">
        <v>45</v>
      </c>
      <c r="H198" s="3">
        <v>29</v>
      </c>
      <c r="I198" s="3">
        <v>2</v>
      </c>
      <c r="J198" s="3">
        <v>48</v>
      </c>
      <c r="K198" s="3">
        <v>34</v>
      </c>
      <c r="L198" t="s">
        <v>22</v>
      </c>
      <c r="M198" s="3">
        <v>3</v>
      </c>
      <c r="N198" t="s">
        <v>22</v>
      </c>
      <c r="O198" t="s">
        <v>22</v>
      </c>
      <c r="P198" t="s">
        <v>28</v>
      </c>
      <c r="Q198" t="s">
        <v>22</v>
      </c>
    </row>
    <row r="199" spans="1:17">
      <c r="A199" t="s">
        <v>246</v>
      </c>
      <c r="B199" t="s">
        <v>18</v>
      </c>
      <c r="C199" t="s">
        <v>37</v>
      </c>
      <c r="D199" t="s">
        <v>47</v>
      </c>
      <c r="E199" t="s">
        <v>58</v>
      </c>
      <c r="F199" s="2">
        <v>2036.91</v>
      </c>
      <c r="G199" s="3">
        <v>30</v>
      </c>
      <c r="H199" s="3">
        <v>17</v>
      </c>
      <c r="I199" s="3">
        <v>0</v>
      </c>
      <c r="J199" s="3">
        <v>43</v>
      </c>
      <c r="K199" s="3">
        <v>135</v>
      </c>
      <c r="L199" t="s">
        <v>22</v>
      </c>
      <c r="M199" s="3">
        <v>2</v>
      </c>
      <c r="N199" t="s">
        <v>22</v>
      </c>
      <c r="O199" t="s">
        <v>22</v>
      </c>
      <c r="P199" t="s">
        <v>24</v>
      </c>
      <c r="Q199" t="s">
        <v>22</v>
      </c>
    </row>
    <row r="200" spans="1:17">
      <c r="A200" t="s">
        <v>247</v>
      </c>
      <c r="B200" t="s">
        <v>18</v>
      </c>
      <c r="C200" t="s">
        <v>19</v>
      </c>
      <c r="D200" t="s">
        <v>27</v>
      </c>
      <c r="E200" t="s">
        <v>53</v>
      </c>
      <c r="F200" s="2">
        <v>6555.09</v>
      </c>
      <c r="G200" s="3">
        <v>45</v>
      </c>
      <c r="H200" s="3">
        <v>8</v>
      </c>
      <c r="I200" s="3">
        <v>1</v>
      </c>
      <c r="J200" s="3">
        <v>60</v>
      </c>
      <c r="K200" s="3">
        <v>29</v>
      </c>
      <c r="L200" t="s">
        <v>22</v>
      </c>
      <c r="M200" s="3">
        <v>2</v>
      </c>
      <c r="N200" t="s">
        <v>23</v>
      </c>
      <c r="O200" t="s">
        <v>22</v>
      </c>
      <c r="P200" t="s">
        <v>35</v>
      </c>
      <c r="Q200" t="s">
        <v>22</v>
      </c>
    </row>
    <row r="201" spans="1:17">
      <c r="A201" t="s">
        <v>248</v>
      </c>
      <c r="B201" t="s">
        <v>30</v>
      </c>
      <c r="C201" t="s">
        <v>55</v>
      </c>
      <c r="D201" t="s">
        <v>20</v>
      </c>
      <c r="E201" t="s">
        <v>60</v>
      </c>
      <c r="F201" s="2">
        <v>7636.23</v>
      </c>
      <c r="G201" s="3">
        <v>60</v>
      </c>
      <c r="H201" s="3">
        <v>57</v>
      </c>
      <c r="I201" s="3">
        <v>4</v>
      </c>
      <c r="J201" s="3">
        <v>70</v>
      </c>
      <c r="K201" s="3">
        <v>173</v>
      </c>
      <c r="L201" t="s">
        <v>22</v>
      </c>
      <c r="M201" s="3">
        <v>3</v>
      </c>
      <c r="N201" t="s">
        <v>23</v>
      </c>
      <c r="O201" t="s">
        <v>23</v>
      </c>
      <c r="P201" t="s">
        <v>24</v>
      </c>
      <c r="Q201" t="s">
        <v>22</v>
      </c>
    </row>
    <row r="202" spans="1:17">
      <c r="A202" t="s">
        <v>249</v>
      </c>
      <c r="B202" t="s">
        <v>46</v>
      </c>
      <c r="C202" t="s">
        <v>26</v>
      </c>
      <c r="D202" t="s">
        <v>20</v>
      </c>
      <c r="E202" t="s">
        <v>34</v>
      </c>
      <c r="F202" s="2">
        <v>54101.23</v>
      </c>
      <c r="G202" s="3">
        <v>30</v>
      </c>
      <c r="H202" s="3">
        <v>112</v>
      </c>
      <c r="I202" s="3">
        <v>1</v>
      </c>
      <c r="J202" s="3">
        <v>52</v>
      </c>
      <c r="K202" s="3">
        <v>76</v>
      </c>
      <c r="L202" t="s">
        <v>22</v>
      </c>
      <c r="M202" s="3">
        <v>1</v>
      </c>
      <c r="N202" t="s">
        <v>22</v>
      </c>
      <c r="O202" t="s">
        <v>23</v>
      </c>
      <c r="P202" t="s">
        <v>24</v>
      </c>
      <c r="Q202" t="s">
        <v>23</v>
      </c>
    </row>
    <row r="203" spans="1:17">
      <c r="A203" t="s">
        <v>250</v>
      </c>
      <c r="B203" t="s">
        <v>30</v>
      </c>
      <c r="C203" t="s">
        <v>37</v>
      </c>
      <c r="D203" t="s">
        <v>47</v>
      </c>
      <c r="E203" t="s">
        <v>53</v>
      </c>
      <c r="F203" s="2">
        <v>17095.599999999999</v>
      </c>
      <c r="G203" s="3">
        <v>30</v>
      </c>
      <c r="H203" s="3">
        <v>71</v>
      </c>
      <c r="I203" s="3">
        <v>0</v>
      </c>
      <c r="J203" s="3">
        <v>34</v>
      </c>
      <c r="K203" s="3">
        <v>13</v>
      </c>
      <c r="L203" t="s">
        <v>22</v>
      </c>
      <c r="M203" s="3">
        <v>3</v>
      </c>
      <c r="N203" t="s">
        <v>23</v>
      </c>
      <c r="O203" t="s">
        <v>22</v>
      </c>
      <c r="P203" t="s">
        <v>24</v>
      </c>
      <c r="Q203" t="s">
        <v>22</v>
      </c>
    </row>
    <row r="204" spans="1:17">
      <c r="A204" t="s">
        <v>251</v>
      </c>
      <c r="B204" t="s">
        <v>18</v>
      </c>
      <c r="C204" t="s">
        <v>55</v>
      </c>
      <c r="D204" t="s">
        <v>66</v>
      </c>
      <c r="E204" t="s">
        <v>40</v>
      </c>
      <c r="F204" s="2">
        <v>3712.86</v>
      </c>
      <c r="G204" s="3">
        <v>15</v>
      </c>
      <c r="H204" s="3">
        <v>22</v>
      </c>
      <c r="I204" s="3">
        <v>0</v>
      </c>
      <c r="J204" s="3">
        <v>8</v>
      </c>
      <c r="K204" s="3">
        <v>143</v>
      </c>
      <c r="L204" t="s">
        <v>22</v>
      </c>
      <c r="M204" s="3">
        <v>0</v>
      </c>
      <c r="N204" t="s">
        <v>23</v>
      </c>
      <c r="O204" t="s">
        <v>22</v>
      </c>
      <c r="P204" t="s">
        <v>24</v>
      </c>
      <c r="Q204" t="s">
        <v>22</v>
      </c>
    </row>
    <row r="205" spans="1:17">
      <c r="A205" t="s">
        <v>252</v>
      </c>
      <c r="B205" t="s">
        <v>30</v>
      </c>
      <c r="C205" t="s">
        <v>26</v>
      </c>
      <c r="D205" t="s">
        <v>42</v>
      </c>
      <c r="E205" t="s">
        <v>32</v>
      </c>
      <c r="F205" s="2">
        <v>26706.75</v>
      </c>
      <c r="G205" s="3">
        <v>30</v>
      </c>
      <c r="H205" s="3">
        <v>83</v>
      </c>
      <c r="I205" s="3">
        <v>1</v>
      </c>
      <c r="J205" s="3">
        <v>35</v>
      </c>
      <c r="K205" s="3">
        <v>30</v>
      </c>
      <c r="L205" t="s">
        <v>22</v>
      </c>
      <c r="M205" s="3">
        <v>1</v>
      </c>
      <c r="N205" t="s">
        <v>22</v>
      </c>
      <c r="O205" t="s">
        <v>23</v>
      </c>
      <c r="P205" t="s">
        <v>24</v>
      </c>
      <c r="Q205" t="s">
        <v>22</v>
      </c>
    </row>
    <row r="206" spans="1:17">
      <c r="A206" t="s">
        <v>253</v>
      </c>
      <c r="B206" t="s">
        <v>18</v>
      </c>
      <c r="C206" t="s">
        <v>19</v>
      </c>
      <c r="D206" t="s">
        <v>47</v>
      </c>
      <c r="E206" t="s">
        <v>21</v>
      </c>
      <c r="F206" s="2">
        <v>5838.7</v>
      </c>
      <c r="G206" s="3">
        <v>15</v>
      </c>
      <c r="H206" s="3">
        <v>9</v>
      </c>
      <c r="I206" s="3">
        <v>2</v>
      </c>
      <c r="J206" s="3">
        <v>37</v>
      </c>
      <c r="K206" s="3">
        <v>118</v>
      </c>
      <c r="L206" t="s">
        <v>22</v>
      </c>
      <c r="M206" s="3">
        <v>0</v>
      </c>
      <c r="N206" t="s">
        <v>23</v>
      </c>
      <c r="O206" t="s">
        <v>23</v>
      </c>
      <c r="P206" t="s">
        <v>24</v>
      </c>
      <c r="Q206" t="s">
        <v>22</v>
      </c>
    </row>
    <row r="207" spans="1:17">
      <c r="A207" t="s">
        <v>254</v>
      </c>
      <c r="B207" t="s">
        <v>30</v>
      </c>
      <c r="C207" t="s">
        <v>31</v>
      </c>
      <c r="D207" t="s">
        <v>20</v>
      </c>
      <c r="E207" t="s">
        <v>60</v>
      </c>
      <c r="F207" s="2">
        <v>15298.3</v>
      </c>
      <c r="G207" s="3">
        <v>60</v>
      </c>
      <c r="H207" s="3">
        <v>49</v>
      </c>
      <c r="I207" s="3">
        <v>0</v>
      </c>
      <c r="J207" s="3">
        <v>66</v>
      </c>
      <c r="K207" s="3">
        <v>40</v>
      </c>
      <c r="L207" t="s">
        <v>22</v>
      </c>
      <c r="M207" s="3">
        <v>1</v>
      </c>
      <c r="N207" t="s">
        <v>22</v>
      </c>
      <c r="O207" t="s">
        <v>22</v>
      </c>
      <c r="P207" t="s">
        <v>24</v>
      </c>
      <c r="Q207" t="s">
        <v>22</v>
      </c>
    </row>
    <row r="208" spans="1:17">
      <c r="A208" t="s">
        <v>255</v>
      </c>
      <c r="B208" t="s">
        <v>46</v>
      </c>
      <c r="C208" t="s">
        <v>55</v>
      </c>
      <c r="D208" t="s">
        <v>20</v>
      </c>
      <c r="E208" t="s">
        <v>103</v>
      </c>
      <c r="F208" s="2">
        <v>70945.17</v>
      </c>
      <c r="G208" s="3">
        <v>30</v>
      </c>
      <c r="H208" s="3">
        <v>62</v>
      </c>
      <c r="I208" s="3">
        <v>0</v>
      </c>
      <c r="J208" s="3">
        <v>34</v>
      </c>
      <c r="K208" s="3">
        <v>99</v>
      </c>
      <c r="L208" t="s">
        <v>22</v>
      </c>
      <c r="M208" s="3">
        <v>2</v>
      </c>
      <c r="N208" t="s">
        <v>23</v>
      </c>
      <c r="O208" t="s">
        <v>22</v>
      </c>
      <c r="P208" t="s">
        <v>24</v>
      </c>
      <c r="Q208" t="s">
        <v>22</v>
      </c>
    </row>
    <row r="209" spans="1:17">
      <c r="A209" t="s">
        <v>256</v>
      </c>
      <c r="B209" t="s">
        <v>18</v>
      </c>
      <c r="C209" t="s">
        <v>19</v>
      </c>
      <c r="D209" t="s">
        <v>20</v>
      </c>
      <c r="E209" t="s">
        <v>50</v>
      </c>
      <c r="F209" s="2">
        <v>2643.17</v>
      </c>
      <c r="G209" s="3">
        <v>45</v>
      </c>
      <c r="H209" s="3">
        <v>14</v>
      </c>
      <c r="I209" s="3">
        <v>5</v>
      </c>
      <c r="J209" s="3">
        <v>77</v>
      </c>
      <c r="K209" s="3">
        <v>11</v>
      </c>
      <c r="L209" t="s">
        <v>22</v>
      </c>
      <c r="M209" s="3">
        <v>3</v>
      </c>
      <c r="N209" t="s">
        <v>23</v>
      </c>
      <c r="O209" t="s">
        <v>22</v>
      </c>
      <c r="P209" t="s">
        <v>35</v>
      </c>
      <c r="Q209" t="s">
        <v>23</v>
      </c>
    </row>
    <row r="210" spans="1:17">
      <c r="A210" t="s">
        <v>257</v>
      </c>
      <c r="B210" t="s">
        <v>30</v>
      </c>
      <c r="C210" t="s">
        <v>19</v>
      </c>
      <c r="D210" t="s">
        <v>38</v>
      </c>
      <c r="E210" t="s">
        <v>43</v>
      </c>
      <c r="F210" s="2">
        <v>28468.53</v>
      </c>
      <c r="G210" s="3">
        <v>30</v>
      </c>
      <c r="H210" s="3">
        <v>11</v>
      </c>
      <c r="I210" s="3">
        <v>1</v>
      </c>
      <c r="J210" s="3">
        <v>43</v>
      </c>
      <c r="K210" s="3">
        <v>106</v>
      </c>
      <c r="L210" t="s">
        <v>22</v>
      </c>
      <c r="M210" s="3">
        <v>0</v>
      </c>
      <c r="N210" t="s">
        <v>23</v>
      </c>
      <c r="O210" t="s">
        <v>22</v>
      </c>
      <c r="P210" t="s">
        <v>24</v>
      </c>
      <c r="Q210" t="s">
        <v>22</v>
      </c>
    </row>
    <row r="211" spans="1:17">
      <c r="A211" t="s">
        <v>258</v>
      </c>
      <c r="B211" t="s">
        <v>30</v>
      </c>
      <c r="C211" t="s">
        <v>31</v>
      </c>
      <c r="D211" t="s">
        <v>27</v>
      </c>
      <c r="E211" t="s">
        <v>53</v>
      </c>
      <c r="F211" s="2">
        <v>16088.9</v>
      </c>
      <c r="G211" s="3">
        <v>15</v>
      </c>
      <c r="H211" s="3">
        <v>84</v>
      </c>
      <c r="I211" s="3">
        <v>0</v>
      </c>
      <c r="J211" s="3">
        <v>14</v>
      </c>
      <c r="K211" s="3">
        <v>45</v>
      </c>
      <c r="L211" t="s">
        <v>22</v>
      </c>
      <c r="M211" s="3">
        <v>0</v>
      </c>
      <c r="N211" t="s">
        <v>22</v>
      </c>
      <c r="O211" t="s">
        <v>23</v>
      </c>
      <c r="P211" t="s">
        <v>35</v>
      </c>
      <c r="Q211" t="s">
        <v>22</v>
      </c>
    </row>
    <row r="212" spans="1:17">
      <c r="A212" t="s">
        <v>259</v>
      </c>
      <c r="B212" t="s">
        <v>46</v>
      </c>
      <c r="C212" t="s">
        <v>37</v>
      </c>
      <c r="D212" t="s">
        <v>27</v>
      </c>
      <c r="E212" t="s">
        <v>21</v>
      </c>
      <c r="F212" s="2">
        <v>38328.31</v>
      </c>
      <c r="G212" s="3">
        <v>30</v>
      </c>
      <c r="H212" s="3">
        <v>103</v>
      </c>
      <c r="I212" s="3">
        <v>0</v>
      </c>
      <c r="J212" s="3">
        <v>26</v>
      </c>
      <c r="K212" s="3">
        <v>180</v>
      </c>
      <c r="L212" t="s">
        <v>22</v>
      </c>
      <c r="M212" s="3">
        <v>2</v>
      </c>
      <c r="N212" t="s">
        <v>23</v>
      </c>
      <c r="O212" t="s">
        <v>22</v>
      </c>
      <c r="P212" t="s">
        <v>28</v>
      </c>
      <c r="Q212" t="s">
        <v>22</v>
      </c>
    </row>
    <row r="213" spans="1:17">
      <c r="A213" t="s">
        <v>260</v>
      </c>
      <c r="B213" t="s">
        <v>30</v>
      </c>
      <c r="C213" t="s">
        <v>26</v>
      </c>
      <c r="D213" t="s">
        <v>27</v>
      </c>
      <c r="E213" t="s">
        <v>48</v>
      </c>
      <c r="F213" s="2">
        <v>26975.7</v>
      </c>
      <c r="G213" s="3">
        <v>60</v>
      </c>
      <c r="H213" s="3">
        <v>9</v>
      </c>
      <c r="I213" s="3">
        <v>2</v>
      </c>
      <c r="J213" s="3">
        <v>69</v>
      </c>
      <c r="K213" s="3">
        <v>97</v>
      </c>
      <c r="L213" t="s">
        <v>22</v>
      </c>
      <c r="M213" s="3">
        <v>2</v>
      </c>
      <c r="N213" t="s">
        <v>23</v>
      </c>
      <c r="O213" t="s">
        <v>22</v>
      </c>
      <c r="P213" t="s">
        <v>28</v>
      </c>
      <c r="Q213" t="s">
        <v>22</v>
      </c>
    </row>
    <row r="214" spans="1:17">
      <c r="A214" t="s">
        <v>261</v>
      </c>
      <c r="B214" t="s">
        <v>18</v>
      </c>
      <c r="C214" t="s">
        <v>55</v>
      </c>
      <c r="D214" t="s">
        <v>27</v>
      </c>
      <c r="E214" t="s">
        <v>85</v>
      </c>
      <c r="F214" s="2">
        <v>5059.95</v>
      </c>
      <c r="G214" s="3">
        <v>45</v>
      </c>
      <c r="H214" s="3">
        <v>38</v>
      </c>
      <c r="I214" s="3">
        <v>1</v>
      </c>
      <c r="J214" s="3">
        <v>64</v>
      </c>
      <c r="K214" s="3">
        <v>122</v>
      </c>
      <c r="L214" t="s">
        <v>22</v>
      </c>
      <c r="M214" s="3">
        <v>3</v>
      </c>
      <c r="N214" t="s">
        <v>23</v>
      </c>
      <c r="O214" t="s">
        <v>22</v>
      </c>
      <c r="P214" t="s">
        <v>24</v>
      </c>
      <c r="Q214" t="s">
        <v>23</v>
      </c>
    </row>
    <row r="215" spans="1:17">
      <c r="A215" t="s">
        <v>262</v>
      </c>
      <c r="B215" t="s">
        <v>18</v>
      </c>
      <c r="C215" t="s">
        <v>19</v>
      </c>
      <c r="D215" t="s">
        <v>27</v>
      </c>
      <c r="E215" t="s">
        <v>53</v>
      </c>
      <c r="F215" s="2">
        <v>5403.51</v>
      </c>
      <c r="G215" s="3">
        <v>15</v>
      </c>
      <c r="H215" s="3">
        <v>25</v>
      </c>
      <c r="I215" s="3">
        <v>4</v>
      </c>
      <c r="J215" s="3">
        <v>30</v>
      </c>
      <c r="K215" s="3">
        <v>58</v>
      </c>
      <c r="L215" t="s">
        <v>22</v>
      </c>
      <c r="M215" s="3">
        <v>3</v>
      </c>
      <c r="N215" t="s">
        <v>23</v>
      </c>
      <c r="O215" t="s">
        <v>22</v>
      </c>
      <c r="P215" t="s">
        <v>35</v>
      </c>
      <c r="Q215" t="s">
        <v>22</v>
      </c>
    </row>
    <row r="216" spans="1:17">
      <c r="A216" t="s">
        <v>263</v>
      </c>
      <c r="B216" t="s">
        <v>30</v>
      </c>
      <c r="C216" t="s">
        <v>52</v>
      </c>
      <c r="D216" t="s">
        <v>66</v>
      </c>
      <c r="E216" t="s">
        <v>40</v>
      </c>
      <c r="F216" s="2">
        <v>28561.54</v>
      </c>
      <c r="G216" s="3">
        <v>30</v>
      </c>
      <c r="H216" s="3">
        <v>36</v>
      </c>
      <c r="I216" s="3">
        <v>0</v>
      </c>
      <c r="J216" s="3">
        <v>23</v>
      </c>
      <c r="K216" s="3">
        <v>158</v>
      </c>
      <c r="L216" t="s">
        <v>23</v>
      </c>
      <c r="M216" s="3">
        <v>1</v>
      </c>
      <c r="N216" t="s">
        <v>22</v>
      </c>
      <c r="O216" t="s">
        <v>22</v>
      </c>
      <c r="P216" t="s">
        <v>35</v>
      </c>
      <c r="Q216" t="s">
        <v>23</v>
      </c>
    </row>
    <row r="217" spans="1:17">
      <c r="A217" t="s">
        <v>264</v>
      </c>
      <c r="B217" t="s">
        <v>30</v>
      </c>
      <c r="C217" t="s">
        <v>52</v>
      </c>
      <c r="D217" t="s">
        <v>20</v>
      </c>
      <c r="E217" t="s">
        <v>32</v>
      </c>
      <c r="F217" s="2">
        <v>19669.97</v>
      </c>
      <c r="G217" s="3">
        <v>15</v>
      </c>
      <c r="H217" s="3">
        <v>9</v>
      </c>
      <c r="I217" s="3">
        <v>0</v>
      </c>
      <c r="J217" s="3">
        <v>28</v>
      </c>
      <c r="K217" s="3">
        <v>153</v>
      </c>
      <c r="L217" t="s">
        <v>22</v>
      </c>
      <c r="M217" s="3">
        <v>0</v>
      </c>
      <c r="N217" t="s">
        <v>23</v>
      </c>
      <c r="O217" t="s">
        <v>22</v>
      </c>
      <c r="P217" t="s">
        <v>24</v>
      </c>
      <c r="Q217" t="s">
        <v>23</v>
      </c>
    </row>
    <row r="218" spans="1:17">
      <c r="A218" t="s">
        <v>265</v>
      </c>
      <c r="B218" t="s">
        <v>30</v>
      </c>
      <c r="C218" t="s">
        <v>37</v>
      </c>
      <c r="D218" t="s">
        <v>27</v>
      </c>
      <c r="E218" t="s">
        <v>48</v>
      </c>
      <c r="F218" s="2">
        <v>8400.6</v>
      </c>
      <c r="G218" s="3">
        <v>30</v>
      </c>
      <c r="H218" s="3">
        <v>59</v>
      </c>
      <c r="I218" s="3">
        <v>0</v>
      </c>
      <c r="J218" s="3">
        <v>52</v>
      </c>
      <c r="K218" s="3">
        <v>37</v>
      </c>
      <c r="L218" t="s">
        <v>22</v>
      </c>
      <c r="M218" s="3">
        <v>2</v>
      </c>
      <c r="N218" t="s">
        <v>23</v>
      </c>
      <c r="O218" t="s">
        <v>23</v>
      </c>
      <c r="P218" t="s">
        <v>24</v>
      </c>
      <c r="Q218" t="s">
        <v>22</v>
      </c>
    </row>
    <row r="219" spans="1:17">
      <c r="A219" t="s">
        <v>266</v>
      </c>
      <c r="B219" t="s">
        <v>30</v>
      </c>
      <c r="C219" t="s">
        <v>31</v>
      </c>
      <c r="D219" t="s">
        <v>27</v>
      </c>
      <c r="E219" t="s">
        <v>32</v>
      </c>
      <c r="F219" s="2">
        <v>13999.7</v>
      </c>
      <c r="G219" s="3">
        <v>30</v>
      </c>
      <c r="H219" s="3">
        <v>75</v>
      </c>
      <c r="I219" s="3">
        <v>0</v>
      </c>
      <c r="J219" s="3">
        <v>16</v>
      </c>
      <c r="K219" s="3">
        <v>168</v>
      </c>
      <c r="L219" t="s">
        <v>23</v>
      </c>
      <c r="M219" s="3">
        <v>0</v>
      </c>
      <c r="N219" t="s">
        <v>23</v>
      </c>
      <c r="O219" t="s">
        <v>22</v>
      </c>
      <c r="P219" t="s">
        <v>24</v>
      </c>
      <c r="Q219" t="s">
        <v>22</v>
      </c>
    </row>
    <row r="220" spans="1:17">
      <c r="A220" t="s">
        <v>267</v>
      </c>
      <c r="B220" t="s">
        <v>30</v>
      </c>
      <c r="C220" t="s">
        <v>26</v>
      </c>
      <c r="D220" t="s">
        <v>38</v>
      </c>
      <c r="E220" t="s">
        <v>103</v>
      </c>
      <c r="F220" s="2">
        <v>24402.25</v>
      </c>
      <c r="G220" s="3">
        <v>30</v>
      </c>
      <c r="H220" s="3">
        <v>84</v>
      </c>
      <c r="I220" s="3">
        <v>1</v>
      </c>
      <c r="J220" s="3">
        <v>32</v>
      </c>
      <c r="K220" s="3">
        <v>110</v>
      </c>
      <c r="L220" t="s">
        <v>22</v>
      </c>
      <c r="M220" s="3">
        <v>0</v>
      </c>
      <c r="N220" t="s">
        <v>23</v>
      </c>
      <c r="O220" t="s">
        <v>22</v>
      </c>
      <c r="P220" t="s">
        <v>35</v>
      </c>
      <c r="Q220" t="s">
        <v>23</v>
      </c>
    </row>
    <row r="221" spans="1:17">
      <c r="A221" t="s">
        <v>268</v>
      </c>
      <c r="B221" t="s">
        <v>46</v>
      </c>
      <c r="C221" t="s">
        <v>31</v>
      </c>
      <c r="D221" t="s">
        <v>27</v>
      </c>
      <c r="E221" t="s">
        <v>53</v>
      </c>
      <c r="F221" s="2">
        <v>43011.44</v>
      </c>
      <c r="G221" s="3">
        <v>45</v>
      </c>
      <c r="H221" s="3">
        <v>119</v>
      </c>
      <c r="I221" s="3">
        <v>2</v>
      </c>
      <c r="J221" s="3">
        <v>58</v>
      </c>
      <c r="K221" s="3">
        <v>11</v>
      </c>
      <c r="L221" t="s">
        <v>22</v>
      </c>
      <c r="M221" s="3">
        <v>3</v>
      </c>
      <c r="N221" t="s">
        <v>23</v>
      </c>
      <c r="O221" t="s">
        <v>22</v>
      </c>
      <c r="P221" t="s">
        <v>28</v>
      </c>
      <c r="Q221" t="s">
        <v>22</v>
      </c>
    </row>
    <row r="222" spans="1:17">
      <c r="A222" t="s">
        <v>269</v>
      </c>
      <c r="B222" t="s">
        <v>46</v>
      </c>
      <c r="C222" t="s">
        <v>31</v>
      </c>
      <c r="D222" t="s">
        <v>27</v>
      </c>
      <c r="E222" t="s">
        <v>60</v>
      </c>
      <c r="F222" s="2">
        <v>57226.64</v>
      </c>
      <c r="G222" s="3">
        <v>45</v>
      </c>
      <c r="H222" s="3">
        <v>118</v>
      </c>
      <c r="I222" s="3">
        <v>0</v>
      </c>
      <c r="J222" s="3">
        <v>50</v>
      </c>
      <c r="K222" s="3">
        <v>8</v>
      </c>
      <c r="L222" t="s">
        <v>22</v>
      </c>
      <c r="M222" s="3">
        <v>0</v>
      </c>
      <c r="N222" t="s">
        <v>22</v>
      </c>
      <c r="O222" t="s">
        <v>22</v>
      </c>
      <c r="P222" t="s">
        <v>24</v>
      </c>
      <c r="Q222" t="s">
        <v>22</v>
      </c>
    </row>
    <row r="223" spans="1:17">
      <c r="A223" t="s">
        <v>270</v>
      </c>
      <c r="B223" t="s">
        <v>18</v>
      </c>
      <c r="C223" t="s">
        <v>55</v>
      </c>
      <c r="D223" t="s">
        <v>42</v>
      </c>
      <c r="E223" t="s">
        <v>48</v>
      </c>
      <c r="F223" s="2">
        <v>5642.67</v>
      </c>
      <c r="G223" s="3">
        <v>45</v>
      </c>
      <c r="H223" s="3">
        <v>14</v>
      </c>
      <c r="I223" s="3">
        <v>5</v>
      </c>
      <c r="J223" s="3">
        <v>67</v>
      </c>
      <c r="K223" s="3">
        <v>61</v>
      </c>
      <c r="L223" t="s">
        <v>22</v>
      </c>
      <c r="M223" s="3">
        <v>1</v>
      </c>
      <c r="N223" t="s">
        <v>23</v>
      </c>
      <c r="O223" t="s">
        <v>23</v>
      </c>
      <c r="P223" t="s">
        <v>28</v>
      </c>
      <c r="Q223" t="s">
        <v>23</v>
      </c>
    </row>
    <row r="224" spans="1:17">
      <c r="A224" t="s">
        <v>271</v>
      </c>
      <c r="B224" t="s">
        <v>30</v>
      </c>
      <c r="C224" t="s">
        <v>26</v>
      </c>
      <c r="D224" t="s">
        <v>38</v>
      </c>
      <c r="E224" t="s">
        <v>34</v>
      </c>
      <c r="F224" s="2">
        <v>5072.92</v>
      </c>
      <c r="G224" s="3">
        <v>30</v>
      </c>
      <c r="H224" s="3">
        <v>60</v>
      </c>
      <c r="I224" s="3">
        <v>0</v>
      </c>
      <c r="J224" s="3">
        <v>34</v>
      </c>
      <c r="K224" s="3">
        <v>156</v>
      </c>
      <c r="L224" t="s">
        <v>22</v>
      </c>
      <c r="M224" s="3">
        <v>1</v>
      </c>
      <c r="N224" t="s">
        <v>23</v>
      </c>
      <c r="O224" t="s">
        <v>22</v>
      </c>
      <c r="P224" t="s">
        <v>24</v>
      </c>
      <c r="Q224" t="s">
        <v>22</v>
      </c>
    </row>
    <row r="225" spans="1:17">
      <c r="A225" t="s">
        <v>272</v>
      </c>
      <c r="B225" t="s">
        <v>18</v>
      </c>
      <c r="C225" t="s">
        <v>55</v>
      </c>
      <c r="D225" t="s">
        <v>38</v>
      </c>
      <c r="E225" t="s">
        <v>60</v>
      </c>
      <c r="F225" s="2">
        <v>1296.3399999999999</v>
      </c>
      <c r="G225" s="3">
        <v>45</v>
      </c>
      <c r="H225" s="3">
        <v>35</v>
      </c>
      <c r="I225" s="3">
        <v>5</v>
      </c>
      <c r="J225" s="3">
        <v>64</v>
      </c>
      <c r="K225" s="3">
        <v>132</v>
      </c>
      <c r="L225" t="s">
        <v>22</v>
      </c>
      <c r="M225" s="3">
        <v>3</v>
      </c>
      <c r="N225" t="s">
        <v>23</v>
      </c>
      <c r="O225" t="s">
        <v>22</v>
      </c>
      <c r="P225" t="s">
        <v>28</v>
      </c>
      <c r="Q225" t="s">
        <v>22</v>
      </c>
    </row>
    <row r="226" spans="1:17">
      <c r="A226" t="s">
        <v>273</v>
      </c>
      <c r="B226" t="s">
        <v>46</v>
      </c>
      <c r="C226" t="s">
        <v>26</v>
      </c>
      <c r="D226" t="s">
        <v>27</v>
      </c>
      <c r="E226" t="s">
        <v>21</v>
      </c>
      <c r="F226" s="2">
        <v>28132.65</v>
      </c>
      <c r="G226" s="3">
        <v>30</v>
      </c>
      <c r="H226" s="3">
        <v>105</v>
      </c>
      <c r="I226" s="3">
        <v>1</v>
      </c>
      <c r="J226" s="3">
        <v>34</v>
      </c>
      <c r="K226" s="3">
        <v>151</v>
      </c>
      <c r="L226" t="s">
        <v>22</v>
      </c>
      <c r="M226" s="3">
        <v>1</v>
      </c>
      <c r="N226" t="s">
        <v>22</v>
      </c>
      <c r="O226" t="s">
        <v>23</v>
      </c>
      <c r="P226" t="s">
        <v>35</v>
      </c>
      <c r="Q226" t="s">
        <v>23</v>
      </c>
    </row>
    <row r="227" spans="1:17">
      <c r="A227" t="s">
        <v>274</v>
      </c>
      <c r="B227" t="s">
        <v>30</v>
      </c>
      <c r="C227" t="s">
        <v>31</v>
      </c>
      <c r="D227" t="s">
        <v>38</v>
      </c>
      <c r="E227" t="s">
        <v>58</v>
      </c>
      <c r="F227" s="2">
        <v>16025.66</v>
      </c>
      <c r="G227" s="3">
        <v>30</v>
      </c>
      <c r="H227" s="3">
        <v>63</v>
      </c>
      <c r="I227" s="3">
        <v>0</v>
      </c>
      <c r="J227" s="3">
        <v>38</v>
      </c>
      <c r="K227" s="3">
        <v>40</v>
      </c>
      <c r="L227" t="s">
        <v>23</v>
      </c>
      <c r="M227" s="3">
        <v>3</v>
      </c>
      <c r="N227" t="s">
        <v>22</v>
      </c>
      <c r="O227" t="s">
        <v>23</v>
      </c>
      <c r="P227" t="s">
        <v>24</v>
      </c>
      <c r="Q227" t="s">
        <v>23</v>
      </c>
    </row>
    <row r="228" spans="1:17">
      <c r="A228" t="s">
        <v>275</v>
      </c>
      <c r="B228" t="s">
        <v>30</v>
      </c>
      <c r="C228" t="s">
        <v>19</v>
      </c>
      <c r="D228" t="s">
        <v>42</v>
      </c>
      <c r="E228" t="s">
        <v>32</v>
      </c>
      <c r="F228" s="2">
        <v>26753.279999999999</v>
      </c>
      <c r="G228" s="3">
        <v>30</v>
      </c>
      <c r="H228" s="3">
        <v>76</v>
      </c>
      <c r="I228" s="3">
        <v>0</v>
      </c>
      <c r="J228" s="3">
        <v>35</v>
      </c>
      <c r="K228" s="3">
        <v>85</v>
      </c>
      <c r="L228" t="s">
        <v>22</v>
      </c>
      <c r="M228" s="3">
        <v>1</v>
      </c>
      <c r="N228" t="s">
        <v>23</v>
      </c>
      <c r="O228" t="s">
        <v>22</v>
      </c>
      <c r="P228" t="s">
        <v>28</v>
      </c>
      <c r="Q228" t="s">
        <v>22</v>
      </c>
    </row>
    <row r="229" spans="1:17">
      <c r="A229" t="s">
        <v>276</v>
      </c>
      <c r="B229" t="s">
        <v>30</v>
      </c>
      <c r="C229" t="s">
        <v>37</v>
      </c>
      <c r="D229" t="s">
        <v>20</v>
      </c>
      <c r="E229" t="s">
        <v>58</v>
      </c>
      <c r="F229" s="2">
        <v>21074.29</v>
      </c>
      <c r="G229" s="3">
        <v>30</v>
      </c>
      <c r="H229" s="3">
        <v>40</v>
      </c>
      <c r="I229" s="3">
        <v>0</v>
      </c>
      <c r="J229" s="3">
        <v>34</v>
      </c>
      <c r="K229" s="3">
        <v>137</v>
      </c>
      <c r="L229" t="s">
        <v>23</v>
      </c>
      <c r="M229" s="3">
        <v>1</v>
      </c>
      <c r="N229" t="s">
        <v>23</v>
      </c>
      <c r="O229" t="s">
        <v>22</v>
      </c>
      <c r="P229" t="s">
        <v>24</v>
      </c>
      <c r="Q229" t="s">
        <v>22</v>
      </c>
    </row>
    <row r="230" spans="1:17">
      <c r="A230" t="s">
        <v>277</v>
      </c>
      <c r="B230" t="s">
        <v>18</v>
      </c>
      <c r="C230" t="s">
        <v>37</v>
      </c>
      <c r="D230" t="s">
        <v>66</v>
      </c>
      <c r="E230" t="s">
        <v>53</v>
      </c>
      <c r="F230" s="2">
        <v>958.65</v>
      </c>
      <c r="G230" s="3">
        <v>60</v>
      </c>
      <c r="H230" s="3">
        <v>46</v>
      </c>
      <c r="I230" s="3">
        <v>0</v>
      </c>
      <c r="J230" s="3">
        <v>65</v>
      </c>
      <c r="K230" s="3">
        <v>40</v>
      </c>
      <c r="L230" t="s">
        <v>22</v>
      </c>
      <c r="M230" s="3">
        <v>0</v>
      </c>
      <c r="N230" t="s">
        <v>22</v>
      </c>
      <c r="O230" t="s">
        <v>22</v>
      </c>
      <c r="P230" t="s">
        <v>24</v>
      </c>
      <c r="Q230" t="s">
        <v>23</v>
      </c>
    </row>
    <row r="231" spans="1:17">
      <c r="A231" t="s">
        <v>278</v>
      </c>
      <c r="B231" t="s">
        <v>30</v>
      </c>
      <c r="C231" t="s">
        <v>37</v>
      </c>
      <c r="D231" t="s">
        <v>20</v>
      </c>
      <c r="E231" t="s">
        <v>50</v>
      </c>
      <c r="F231" s="2">
        <v>14493.98</v>
      </c>
      <c r="G231" s="3">
        <v>45</v>
      </c>
      <c r="H231" s="3">
        <v>59</v>
      </c>
      <c r="I231" s="3">
        <v>0</v>
      </c>
      <c r="J231" s="3">
        <v>55</v>
      </c>
      <c r="K231" s="3">
        <v>123</v>
      </c>
      <c r="L231" t="s">
        <v>22</v>
      </c>
      <c r="M231" s="3">
        <v>3</v>
      </c>
      <c r="N231" t="s">
        <v>23</v>
      </c>
      <c r="O231" t="s">
        <v>22</v>
      </c>
      <c r="P231" t="s">
        <v>24</v>
      </c>
      <c r="Q231" t="s">
        <v>22</v>
      </c>
    </row>
    <row r="232" spans="1:17">
      <c r="A232" t="s">
        <v>279</v>
      </c>
      <c r="B232" t="s">
        <v>18</v>
      </c>
      <c r="C232" t="s">
        <v>55</v>
      </c>
      <c r="D232" t="s">
        <v>38</v>
      </c>
      <c r="E232" t="s">
        <v>48</v>
      </c>
      <c r="F232" s="2">
        <v>4431.3599999999997</v>
      </c>
      <c r="G232" s="3">
        <v>30</v>
      </c>
      <c r="H232" s="3">
        <v>42</v>
      </c>
      <c r="I232" s="3">
        <v>1</v>
      </c>
      <c r="J232" s="3">
        <v>39</v>
      </c>
      <c r="K232" s="3">
        <v>40</v>
      </c>
      <c r="L232" t="s">
        <v>22</v>
      </c>
      <c r="M232" s="3">
        <v>2</v>
      </c>
      <c r="N232" t="s">
        <v>22</v>
      </c>
      <c r="O232" t="s">
        <v>23</v>
      </c>
      <c r="P232" t="s">
        <v>24</v>
      </c>
      <c r="Q232" t="s">
        <v>22</v>
      </c>
    </row>
    <row r="233" spans="1:17">
      <c r="A233" t="s">
        <v>280</v>
      </c>
      <c r="B233" t="s">
        <v>30</v>
      </c>
      <c r="C233" t="s">
        <v>26</v>
      </c>
      <c r="D233" t="s">
        <v>66</v>
      </c>
      <c r="E233" t="s">
        <v>40</v>
      </c>
      <c r="F233" s="2">
        <v>19812.78</v>
      </c>
      <c r="G233" s="3">
        <v>60</v>
      </c>
      <c r="H233" s="3">
        <v>34</v>
      </c>
      <c r="I233" s="3">
        <v>4</v>
      </c>
      <c r="J233" s="3">
        <v>71</v>
      </c>
      <c r="K233" s="3">
        <v>76</v>
      </c>
      <c r="L233" t="s">
        <v>22</v>
      </c>
      <c r="M233" s="3">
        <v>4</v>
      </c>
      <c r="N233" t="s">
        <v>23</v>
      </c>
      <c r="O233" t="s">
        <v>23</v>
      </c>
      <c r="P233" t="s">
        <v>24</v>
      </c>
      <c r="Q233" t="s">
        <v>23</v>
      </c>
    </row>
    <row r="234" spans="1:17">
      <c r="A234" t="s">
        <v>281</v>
      </c>
      <c r="B234" t="s">
        <v>30</v>
      </c>
      <c r="C234" t="s">
        <v>19</v>
      </c>
      <c r="D234" t="s">
        <v>66</v>
      </c>
      <c r="E234" t="s">
        <v>85</v>
      </c>
      <c r="F234" s="2">
        <v>21249.74</v>
      </c>
      <c r="G234" s="3">
        <v>15</v>
      </c>
      <c r="H234" s="3">
        <v>79</v>
      </c>
      <c r="I234" s="3">
        <v>4</v>
      </c>
      <c r="J234" s="3">
        <v>30</v>
      </c>
      <c r="K234" s="3">
        <v>123</v>
      </c>
      <c r="L234" t="s">
        <v>22</v>
      </c>
      <c r="M234" s="3">
        <v>2</v>
      </c>
      <c r="N234" t="s">
        <v>23</v>
      </c>
      <c r="O234" t="s">
        <v>23</v>
      </c>
      <c r="P234" t="s">
        <v>24</v>
      </c>
      <c r="Q234" t="s">
        <v>23</v>
      </c>
    </row>
    <row r="235" spans="1:17">
      <c r="A235" t="s">
        <v>282</v>
      </c>
      <c r="B235" t="s">
        <v>18</v>
      </c>
      <c r="C235" t="s">
        <v>37</v>
      </c>
      <c r="D235" t="s">
        <v>38</v>
      </c>
      <c r="E235" t="s">
        <v>53</v>
      </c>
      <c r="F235" s="2">
        <v>7794.08</v>
      </c>
      <c r="G235" s="3">
        <v>30</v>
      </c>
      <c r="H235" s="3">
        <v>11</v>
      </c>
      <c r="I235" s="3">
        <v>0</v>
      </c>
      <c r="J235" s="3">
        <v>39</v>
      </c>
      <c r="K235" s="3">
        <v>64</v>
      </c>
      <c r="L235" t="s">
        <v>22</v>
      </c>
      <c r="M235" s="3">
        <v>2</v>
      </c>
      <c r="N235" t="s">
        <v>23</v>
      </c>
      <c r="O235" t="s">
        <v>22</v>
      </c>
      <c r="P235" t="s">
        <v>24</v>
      </c>
      <c r="Q235" t="s">
        <v>22</v>
      </c>
    </row>
    <row r="236" spans="1:17">
      <c r="A236" t="s">
        <v>283</v>
      </c>
      <c r="B236" t="s">
        <v>18</v>
      </c>
      <c r="C236" t="s">
        <v>52</v>
      </c>
      <c r="D236" t="s">
        <v>27</v>
      </c>
      <c r="E236" t="s">
        <v>34</v>
      </c>
      <c r="F236" s="2">
        <v>1835.24</v>
      </c>
      <c r="G236" s="3">
        <v>30</v>
      </c>
      <c r="H236" s="3">
        <v>34</v>
      </c>
      <c r="I236" s="3">
        <v>1</v>
      </c>
      <c r="J236" s="3">
        <v>51</v>
      </c>
      <c r="K236" s="3">
        <v>60</v>
      </c>
      <c r="L236" t="s">
        <v>22</v>
      </c>
      <c r="M236" s="3">
        <v>2</v>
      </c>
      <c r="N236" t="s">
        <v>23</v>
      </c>
      <c r="O236" t="s">
        <v>22</v>
      </c>
      <c r="P236" t="s">
        <v>24</v>
      </c>
      <c r="Q236" t="s">
        <v>23</v>
      </c>
    </row>
    <row r="237" spans="1:17">
      <c r="A237" t="s">
        <v>284</v>
      </c>
      <c r="B237" t="s">
        <v>30</v>
      </c>
      <c r="C237" t="s">
        <v>55</v>
      </c>
      <c r="D237" t="s">
        <v>27</v>
      </c>
      <c r="E237" t="s">
        <v>53</v>
      </c>
      <c r="F237" s="2">
        <v>22110.58</v>
      </c>
      <c r="G237" s="3">
        <v>30</v>
      </c>
      <c r="H237" s="3">
        <v>40</v>
      </c>
      <c r="I237" s="3">
        <v>0</v>
      </c>
      <c r="J237" s="3">
        <v>29</v>
      </c>
      <c r="K237" s="3">
        <v>58</v>
      </c>
      <c r="L237" t="s">
        <v>22</v>
      </c>
      <c r="M237" s="3">
        <v>2</v>
      </c>
      <c r="N237" t="s">
        <v>23</v>
      </c>
      <c r="O237" t="s">
        <v>23</v>
      </c>
      <c r="P237" t="s">
        <v>28</v>
      </c>
      <c r="Q237" t="s">
        <v>22</v>
      </c>
    </row>
    <row r="238" spans="1:17">
      <c r="A238" t="s">
        <v>285</v>
      </c>
      <c r="B238" t="s">
        <v>30</v>
      </c>
      <c r="C238" t="s">
        <v>31</v>
      </c>
      <c r="D238" t="s">
        <v>20</v>
      </c>
      <c r="E238" t="s">
        <v>43</v>
      </c>
      <c r="F238" s="2">
        <v>29760.06</v>
      </c>
      <c r="G238" s="3">
        <v>45</v>
      </c>
      <c r="H238" s="3">
        <v>70</v>
      </c>
      <c r="I238" s="3">
        <v>1</v>
      </c>
      <c r="J238" s="3">
        <v>47</v>
      </c>
      <c r="K238" s="3">
        <v>9</v>
      </c>
      <c r="L238" t="s">
        <v>22</v>
      </c>
      <c r="M238" s="3">
        <v>0</v>
      </c>
      <c r="N238" t="s">
        <v>23</v>
      </c>
      <c r="O238" t="s">
        <v>22</v>
      </c>
      <c r="P238" t="s">
        <v>28</v>
      </c>
      <c r="Q238" t="s">
        <v>22</v>
      </c>
    </row>
    <row r="239" spans="1:17">
      <c r="A239" t="s">
        <v>286</v>
      </c>
      <c r="B239" t="s">
        <v>18</v>
      </c>
      <c r="C239" t="s">
        <v>19</v>
      </c>
      <c r="D239" t="s">
        <v>42</v>
      </c>
      <c r="E239" t="s">
        <v>103</v>
      </c>
      <c r="F239" s="2">
        <v>1802.99</v>
      </c>
      <c r="G239" s="3">
        <v>15</v>
      </c>
      <c r="H239" s="3">
        <v>27</v>
      </c>
      <c r="I239" s="3">
        <v>1</v>
      </c>
      <c r="J239" s="3">
        <v>27</v>
      </c>
      <c r="K239" s="3">
        <v>44</v>
      </c>
      <c r="L239" t="s">
        <v>22</v>
      </c>
      <c r="M239" s="3">
        <v>1</v>
      </c>
      <c r="N239" t="s">
        <v>22</v>
      </c>
      <c r="O239" t="s">
        <v>22</v>
      </c>
      <c r="P239" t="s">
        <v>24</v>
      </c>
      <c r="Q239" t="s">
        <v>22</v>
      </c>
    </row>
    <row r="240" spans="1:17">
      <c r="A240" t="s">
        <v>287</v>
      </c>
      <c r="B240" t="s">
        <v>18</v>
      </c>
      <c r="C240" t="s">
        <v>37</v>
      </c>
      <c r="D240" t="s">
        <v>47</v>
      </c>
      <c r="E240" t="s">
        <v>103</v>
      </c>
      <c r="F240" s="2">
        <v>1497.62</v>
      </c>
      <c r="G240" s="3">
        <v>30</v>
      </c>
      <c r="H240" s="3">
        <v>48</v>
      </c>
      <c r="I240" s="3">
        <v>2</v>
      </c>
      <c r="J240" s="3">
        <v>51</v>
      </c>
      <c r="K240" s="3">
        <v>32</v>
      </c>
      <c r="L240" t="s">
        <v>23</v>
      </c>
      <c r="M240" s="3">
        <v>4</v>
      </c>
      <c r="N240" t="s">
        <v>23</v>
      </c>
      <c r="O240" t="s">
        <v>22</v>
      </c>
      <c r="P240" t="s">
        <v>35</v>
      </c>
      <c r="Q240" t="s">
        <v>23</v>
      </c>
    </row>
    <row r="241" spans="1:17">
      <c r="A241" t="s">
        <v>288</v>
      </c>
      <c r="B241" t="s">
        <v>30</v>
      </c>
      <c r="C241" t="s">
        <v>31</v>
      </c>
      <c r="D241" t="s">
        <v>47</v>
      </c>
      <c r="E241" t="s">
        <v>40</v>
      </c>
      <c r="F241" s="2">
        <v>22299.37</v>
      </c>
      <c r="G241" s="3">
        <v>45</v>
      </c>
      <c r="H241" s="3">
        <v>84</v>
      </c>
      <c r="I241" s="3">
        <v>1</v>
      </c>
      <c r="J241" s="3">
        <v>51</v>
      </c>
      <c r="K241" s="3">
        <v>3</v>
      </c>
      <c r="L241" t="s">
        <v>22</v>
      </c>
      <c r="M241" s="3">
        <v>0</v>
      </c>
      <c r="N241" t="s">
        <v>22</v>
      </c>
      <c r="O241" t="s">
        <v>23</v>
      </c>
      <c r="P241" t="s">
        <v>28</v>
      </c>
      <c r="Q241" t="s">
        <v>22</v>
      </c>
    </row>
    <row r="242" spans="1:17">
      <c r="A242" t="s">
        <v>289</v>
      </c>
      <c r="B242" t="s">
        <v>46</v>
      </c>
      <c r="C242" t="s">
        <v>19</v>
      </c>
      <c r="D242" t="s">
        <v>38</v>
      </c>
      <c r="E242" t="s">
        <v>43</v>
      </c>
      <c r="F242" s="2">
        <v>66271.759999999995</v>
      </c>
      <c r="G242" s="3">
        <v>60</v>
      </c>
      <c r="H242" s="3">
        <v>76</v>
      </c>
      <c r="I242" s="3">
        <v>1</v>
      </c>
      <c r="J242" s="3">
        <v>63</v>
      </c>
      <c r="K242" s="3">
        <v>86</v>
      </c>
      <c r="L242" t="s">
        <v>22</v>
      </c>
      <c r="M242" s="3">
        <v>1</v>
      </c>
      <c r="N242" t="s">
        <v>23</v>
      </c>
      <c r="O242" t="s">
        <v>22</v>
      </c>
      <c r="P242" t="s">
        <v>35</v>
      </c>
      <c r="Q242" t="s">
        <v>22</v>
      </c>
    </row>
    <row r="243" spans="1:17">
      <c r="A243" t="s">
        <v>290</v>
      </c>
      <c r="B243" t="s">
        <v>30</v>
      </c>
      <c r="C243" t="s">
        <v>26</v>
      </c>
      <c r="D243" t="s">
        <v>42</v>
      </c>
      <c r="E243" t="s">
        <v>21</v>
      </c>
      <c r="F243" s="2">
        <v>13813.14</v>
      </c>
      <c r="G243" s="3">
        <v>15</v>
      </c>
      <c r="H243" s="3">
        <v>72</v>
      </c>
      <c r="I243" s="3">
        <v>0</v>
      </c>
      <c r="J243" s="3">
        <v>18</v>
      </c>
      <c r="K243" s="3">
        <v>169</v>
      </c>
      <c r="L243" t="s">
        <v>23</v>
      </c>
      <c r="M243" s="3">
        <v>3</v>
      </c>
      <c r="N243" t="s">
        <v>23</v>
      </c>
      <c r="O243" t="s">
        <v>22</v>
      </c>
      <c r="P243" t="s">
        <v>28</v>
      </c>
      <c r="Q243" t="s">
        <v>23</v>
      </c>
    </row>
    <row r="244" spans="1:17">
      <c r="A244" t="s">
        <v>291</v>
      </c>
      <c r="B244" t="s">
        <v>30</v>
      </c>
      <c r="C244" t="s">
        <v>19</v>
      </c>
      <c r="D244" t="s">
        <v>42</v>
      </c>
      <c r="E244" t="s">
        <v>48</v>
      </c>
      <c r="F244" s="2">
        <v>26085.39</v>
      </c>
      <c r="G244" s="3">
        <v>45</v>
      </c>
      <c r="H244" s="3">
        <v>49</v>
      </c>
      <c r="I244" s="3">
        <v>1</v>
      </c>
      <c r="J244" s="3">
        <v>56</v>
      </c>
      <c r="K244" s="3">
        <v>53</v>
      </c>
      <c r="L244" t="s">
        <v>22</v>
      </c>
      <c r="M244" s="3">
        <v>2</v>
      </c>
      <c r="N244" t="s">
        <v>23</v>
      </c>
      <c r="O244" t="s">
        <v>22</v>
      </c>
      <c r="P244" t="s">
        <v>24</v>
      </c>
      <c r="Q244" t="s">
        <v>22</v>
      </c>
    </row>
    <row r="245" spans="1:17">
      <c r="A245" t="s">
        <v>292</v>
      </c>
      <c r="B245" t="s">
        <v>18</v>
      </c>
      <c r="C245" t="s">
        <v>55</v>
      </c>
      <c r="D245" t="s">
        <v>38</v>
      </c>
      <c r="E245" t="s">
        <v>85</v>
      </c>
      <c r="F245" s="2">
        <v>3415.43</v>
      </c>
      <c r="G245" s="3">
        <v>45</v>
      </c>
      <c r="H245" s="3">
        <v>33</v>
      </c>
      <c r="I245" s="3">
        <v>0</v>
      </c>
      <c r="J245" s="3">
        <v>53</v>
      </c>
      <c r="K245" s="3">
        <v>92</v>
      </c>
      <c r="L245" t="s">
        <v>22</v>
      </c>
      <c r="M245" s="3">
        <v>2</v>
      </c>
      <c r="N245" t="s">
        <v>23</v>
      </c>
      <c r="O245" t="s">
        <v>23</v>
      </c>
      <c r="P245" t="s">
        <v>28</v>
      </c>
      <c r="Q245" t="s">
        <v>22</v>
      </c>
    </row>
    <row r="246" spans="1:17">
      <c r="A246" t="s">
        <v>293</v>
      </c>
      <c r="B246" t="s">
        <v>30</v>
      </c>
      <c r="C246" t="s">
        <v>31</v>
      </c>
      <c r="D246" t="s">
        <v>66</v>
      </c>
      <c r="E246" t="s">
        <v>103</v>
      </c>
      <c r="F246" s="2">
        <v>22729.29</v>
      </c>
      <c r="G246" s="3">
        <v>45</v>
      </c>
      <c r="H246" s="3">
        <v>53</v>
      </c>
      <c r="I246" s="3">
        <v>0</v>
      </c>
      <c r="J246" s="3">
        <v>51</v>
      </c>
      <c r="K246" s="3">
        <v>65</v>
      </c>
      <c r="L246" t="s">
        <v>22</v>
      </c>
      <c r="M246" s="3">
        <v>0</v>
      </c>
      <c r="N246" t="s">
        <v>22</v>
      </c>
      <c r="O246" t="s">
        <v>22</v>
      </c>
      <c r="P246" t="s">
        <v>24</v>
      </c>
      <c r="Q246" t="s">
        <v>22</v>
      </c>
    </row>
    <row r="247" spans="1:17">
      <c r="A247" t="s">
        <v>294</v>
      </c>
      <c r="B247" t="s">
        <v>30</v>
      </c>
      <c r="C247" t="s">
        <v>31</v>
      </c>
      <c r="D247" t="s">
        <v>27</v>
      </c>
      <c r="E247" t="s">
        <v>43</v>
      </c>
      <c r="F247" s="2">
        <v>15978.52</v>
      </c>
      <c r="G247" s="3">
        <v>15</v>
      </c>
      <c r="H247" s="3">
        <v>24</v>
      </c>
      <c r="I247" s="3">
        <v>0</v>
      </c>
      <c r="J247" s="3">
        <v>8</v>
      </c>
      <c r="K247" s="3">
        <v>180</v>
      </c>
      <c r="L247" t="s">
        <v>22</v>
      </c>
      <c r="M247" s="3">
        <v>0</v>
      </c>
      <c r="N247" t="s">
        <v>23</v>
      </c>
      <c r="O247" t="s">
        <v>23</v>
      </c>
      <c r="P247" t="s">
        <v>24</v>
      </c>
      <c r="Q247" t="s">
        <v>22</v>
      </c>
    </row>
    <row r="248" spans="1:17">
      <c r="A248" t="s">
        <v>295</v>
      </c>
      <c r="B248" t="s">
        <v>46</v>
      </c>
      <c r="C248" t="s">
        <v>52</v>
      </c>
      <c r="D248" t="s">
        <v>47</v>
      </c>
      <c r="E248" t="s">
        <v>48</v>
      </c>
      <c r="F248" s="2">
        <v>69866.47</v>
      </c>
      <c r="G248" s="3">
        <v>45</v>
      </c>
      <c r="H248" s="3">
        <v>70</v>
      </c>
      <c r="I248" s="3">
        <v>0</v>
      </c>
      <c r="J248" s="3">
        <v>47</v>
      </c>
      <c r="K248" s="3">
        <v>81</v>
      </c>
      <c r="L248" t="s">
        <v>22</v>
      </c>
      <c r="M248" s="3">
        <v>1</v>
      </c>
      <c r="N248" t="s">
        <v>22</v>
      </c>
      <c r="O248" t="s">
        <v>22</v>
      </c>
      <c r="P248" t="s">
        <v>24</v>
      </c>
      <c r="Q248" t="s">
        <v>23</v>
      </c>
    </row>
    <row r="249" spans="1:17">
      <c r="A249" t="s">
        <v>296</v>
      </c>
      <c r="B249" t="s">
        <v>30</v>
      </c>
      <c r="C249" t="s">
        <v>55</v>
      </c>
      <c r="D249" t="s">
        <v>47</v>
      </c>
      <c r="E249" t="s">
        <v>53</v>
      </c>
      <c r="F249" s="2">
        <v>17432.89</v>
      </c>
      <c r="G249" s="3">
        <v>30</v>
      </c>
      <c r="H249" s="3">
        <v>65</v>
      </c>
      <c r="I249" s="3">
        <v>3</v>
      </c>
      <c r="J249" s="3">
        <v>41</v>
      </c>
      <c r="K249" s="3">
        <v>101</v>
      </c>
      <c r="L249" t="s">
        <v>22</v>
      </c>
      <c r="M249" s="3">
        <v>4</v>
      </c>
      <c r="N249" t="s">
        <v>23</v>
      </c>
      <c r="O249" t="s">
        <v>22</v>
      </c>
      <c r="P249" t="s">
        <v>24</v>
      </c>
      <c r="Q249" t="s">
        <v>23</v>
      </c>
    </row>
    <row r="250" spans="1:17">
      <c r="A250" t="s">
        <v>297</v>
      </c>
      <c r="B250" t="s">
        <v>18</v>
      </c>
      <c r="C250" t="s">
        <v>26</v>
      </c>
      <c r="D250" t="s">
        <v>38</v>
      </c>
      <c r="E250" t="s">
        <v>50</v>
      </c>
      <c r="F250" s="2">
        <v>1323.34</v>
      </c>
      <c r="G250" s="3">
        <v>45</v>
      </c>
      <c r="H250" s="3">
        <v>47</v>
      </c>
      <c r="I250" s="3">
        <v>0</v>
      </c>
      <c r="J250" s="3">
        <v>50</v>
      </c>
      <c r="K250" s="3">
        <v>102</v>
      </c>
      <c r="L250" t="s">
        <v>22</v>
      </c>
      <c r="M250" s="3">
        <v>1</v>
      </c>
      <c r="N250" t="s">
        <v>23</v>
      </c>
      <c r="O250" t="s">
        <v>22</v>
      </c>
      <c r="P250" t="s">
        <v>24</v>
      </c>
      <c r="Q250" t="s">
        <v>22</v>
      </c>
    </row>
    <row r="251" spans="1:17">
      <c r="A251" t="s">
        <v>298</v>
      </c>
      <c r="B251" t="s">
        <v>18</v>
      </c>
      <c r="C251" t="s">
        <v>19</v>
      </c>
      <c r="D251" t="s">
        <v>38</v>
      </c>
      <c r="E251" t="s">
        <v>43</v>
      </c>
      <c r="F251" s="2">
        <v>6818.98</v>
      </c>
      <c r="G251" s="3">
        <v>45</v>
      </c>
      <c r="H251" s="3">
        <v>21</v>
      </c>
      <c r="I251" s="3">
        <v>1</v>
      </c>
      <c r="J251" s="3">
        <v>55</v>
      </c>
      <c r="K251" s="3">
        <v>171</v>
      </c>
      <c r="L251" t="s">
        <v>22</v>
      </c>
      <c r="M251" s="3">
        <v>1</v>
      </c>
      <c r="N251" t="s">
        <v>22</v>
      </c>
      <c r="O251" t="s">
        <v>22</v>
      </c>
      <c r="P251" t="s">
        <v>24</v>
      </c>
      <c r="Q251" t="s">
        <v>23</v>
      </c>
    </row>
    <row r="252" spans="1:17">
      <c r="A252" t="s">
        <v>299</v>
      </c>
      <c r="B252" t="s">
        <v>30</v>
      </c>
      <c r="C252" t="s">
        <v>31</v>
      </c>
      <c r="D252" t="s">
        <v>66</v>
      </c>
      <c r="E252" t="s">
        <v>32</v>
      </c>
      <c r="F252" s="2">
        <v>4790.4799999999996</v>
      </c>
      <c r="G252" s="3">
        <v>15</v>
      </c>
      <c r="H252" s="3">
        <v>21</v>
      </c>
      <c r="I252" s="3">
        <v>0</v>
      </c>
      <c r="J252" s="3">
        <v>27</v>
      </c>
      <c r="K252" s="3">
        <v>173</v>
      </c>
      <c r="L252" t="s">
        <v>22</v>
      </c>
      <c r="M252" s="3">
        <v>0</v>
      </c>
      <c r="N252" t="s">
        <v>23</v>
      </c>
      <c r="O252" t="s">
        <v>22</v>
      </c>
      <c r="P252" t="s">
        <v>28</v>
      </c>
      <c r="Q252" t="s">
        <v>22</v>
      </c>
    </row>
    <row r="253" spans="1:17">
      <c r="A253" t="s">
        <v>300</v>
      </c>
      <c r="B253" t="s">
        <v>30</v>
      </c>
      <c r="C253" t="s">
        <v>55</v>
      </c>
      <c r="D253" t="s">
        <v>38</v>
      </c>
      <c r="E253" t="s">
        <v>50</v>
      </c>
      <c r="F253" s="2">
        <v>27206.11</v>
      </c>
      <c r="G253" s="3">
        <v>30</v>
      </c>
      <c r="H253" s="3">
        <v>57</v>
      </c>
      <c r="I253" s="3">
        <v>1</v>
      </c>
      <c r="J253" s="3">
        <v>41</v>
      </c>
      <c r="K253" s="3">
        <v>152</v>
      </c>
      <c r="L253" t="s">
        <v>22</v>
      </c>
      <c r="M253" s="3">
        <v>2</v>
      </c>
      <c r="N253" t="s">
        <v>22</v>
      </c>
      <c r="O253" t="s">
        <v>23</v>
      </c>
      <c r="P253" t="s">
        <v>28</v>
      </c>
      <c r="Q253" t="s">
        <v>22</v>
      </c>
    </row>
    <row r="254" spans="1:17">
      <c r="A254" t="s">
        <v>301</v>
      </c>
      <c r="B254" t="s">
        <v>46</v>
      </c>
      <c r="C254" t="s">
        <v>52</v>
      </c>
      <c r="D254" t="s">
        <v>27</v>
      </c>
      <c r="E254" t="s">
        <v>32</v>
      </c>
      <c r="F254" s="2">
        <v>92923.07</v>
      </c>
      <c r="G254" s="3">
        <v>45</v>
      </c>
      <c r="H254" s="3">
        <v>24</v>
      </c>
      <c r="I254" s="3">
        <v>1</v>
      </c>
      <c r="J254" s="3">
        <v>62</v>
      </c>
      <c r="K254" s="3">
        <v>93</v>
      </c>
      <c r="L254" t="s">
        <v>22</v>
      </c>
      <c r="M254" s="3">
        <v>2</v>
      </c>
      <c r="N254" t="s">
        <v>23</v>
      </c>
      <c r="O254" t="s">
        <v>22</v>
      </c>
      <c r="P254" t="s">
        <v>35</v>
      </c>
      <c r="Q254" t="s">
        <v>23</v>
      </c>
    </row>
    <row r="255" spans="1:17">
      <c r="A255" t="s">
        <v>302</v>
      </c>
      <c r="B255" t="s">
        <v>46</v>
      </c>
      <c r="C255" t="s">
        <v>52</v>
      </c>
      <c r="D255" t="s">
        <v>42</v>
      </c>
      <c r="E255" t="s">
        <v>48</v>
      </c>
      <c r="F255" s="2">
        <v>57001.01</v>
      </c>
      <c r="G255" s="3">
        <v>45</v>
      </c>
      <c r="H255" s="3">
        <v>23</v>
      </c>
      <c r="I255" s="3">
        <v>1</v>
      </c>
      <c r="J255" s="3">
        <v>41</v>
      </c>
      <c r="K255" s="3">
        <v>135</v>
      </c>
      <c r="L255" t="s">
        <v>22</v>
      </c>
      <c r="M255" s="3">
        <v>0</v>
      </c>
      <c r="N255" t="s">
        <v>23</v>
      </c>
      <c r="O255" t="s">
        <v>23</v>
      </c>
      <c r="P255" t="s">
        <v>24</v>
      </c>
      <c r="Q255" t="s">
        <v>23</v>
      </c>
    </row>
    <row r="256" spans="1:17">
      <c r="A256" t="s">
        <v>303</v>
      </c>
      <c r="B256" t="s">
        <v>46</v>
      </c>
      <c r="C256" t="s">
        <v>26</v>
      </c>
      <c r="D256" t="s">
        <v>38</v>
      </c>
      <c r="E256" t="s">
        <v>50</v>
      </c>
      <c r="F256" s="2">
        <v>27684.84</v>
      </c>
      <c r="G256" s="3">
        <v>60</v>
      </c>
      <c r="H256" s="3">
        <v>62</v>
      </c>
      <c r="I256" s="3">
        <v>0</v>
      </c>
      <c r="J256" s="3">
        <v>57</v>
      </c>
      <c r="K256" s="3">
        <v>61</v>
      </c>
      <c r="L256" t="s">
        <v>22</v>
      </c>
      <c r="M256" s="3">
        <v>0</v>
      </c>
      <c r="N256" t="s">
        <v>23</v>
      </c>
      <c r="O256" t="s">
        <v>23</v>
      </c>
      <c r="P256" t="s">
        <v>35</v>
      </c>
      <c r="Q256" t="s">
        <v>23</v>
      </c>
    </row>
    <row r="257" spans="1:17">
      <c r="A257" t="s">
        <v>304</v>
      </c>
      <c r="B257" t="s">
        <v>30</v>
      </c>
      <c r="C257" t="s">
        <v>31</v>
      </c>
      <c r="D257" t="s">
        <v>42</v>
      </c>
      <c r="E257" t="s">
        <v>58</v>
      </c>
      <c r="F257" s="2">
        <v>17766.41</v>
      </c>
      <c r="G257" s="3">
        <v>60</v>
      </c>
      <c r="H257" s="3">
        <v>47</v>
      </c>
      <c r="I257" s="3">
        <v>1</v>
      </c>
      <c r="J257" s="3">
        <v>63</v>
      </c>
      <c r="K257" s="3">
        <v>38</v>
      </c>
      <c r="L257" t="s">
        <v>22</v>
      </c>
      <c r="M257" s="3">
        <v>2</v>
      </c>
      <c r="N257" t="s">
        <v>23</v>
      </c>
      <c r="O257" t="s">
        <v>22</v>
      </c>
      <c r="P257" t="s">
        <v>35</v>
      </c>
      <c r="Q257" t="s">
        <v>23</v>
      </c>
    </row>
    <row r="258" spans="1:17">
      <c r="A258" t="s">
        <v>305</v>
      </c>
      <c r="B258" t="s">
        <v>30</v>
      </c>
      <c r="C258" t="s">
        <v>52</v>
      </c>
      <c r="D258" t="s">
        <v>27</v>
      </c>
      <c r="E258" t="s">
        <v>21</v>
      </c>
      <c r="F258" s="2">
        <v>24532.46</v>
      </c>
      <c r="G258" s="3">
        <v>60</v>
      </c>
      <c r="H258" s="3">
        <v>56</v>
      </c>
      <c r="I258" s="3">
        <v>0</v>
      </c>
      <c r="J258" s="3">
        <v>66</v>
      </c>
      <c r="K258" s="3">
        <v>13</v>
      </c>
      <c r="L258" t="s">
        <v>23</v>
      </c>
      <c r="M258" s="3">
        <v>3</v>
      </c>
      <c r="N258" t="s">
        <v>23</v>
      </c>
      <c r="O258" t="s">
        <v>22</v>
      </c>
      <c r="P258" t="s">
        <v>24</v>
      </c>
      <c r="Q258" t="s">
        <v>23</v>
      </c>
    </row>
    <row r="259" spans="1:17">
      <c r="A259" t="s">
        <v>306</v>
      </c>
      <c r="B259" t="s">
        <v>30</v>
      </c>
      <c r="C259" t="s">
        <v>31</v>
      </c>
      <c r="D259" t="s">
        <v>42</v>
      </c>
      <c r="E259" t="s">
        <v>40</v>
      </c>
      <c r="F259" s="2">
        <v>5553.67</v>
      </c>
      <c r="G259" s="3">
        <v>30</v>
      </c>
      <c r="H259" s="3">
        <v>36</v>
      </c>
      <c r="I259" s="3">
        <v>1</v>
      </c>
      <c r="J259" s="3">
        <v>32</v>
      </c>
      <c r="K259" s="3">
        <v>41</v>
      </c>
      <c r="L259" t="s">
        <v>23</v>
      </c>
      <c r="M259" s="3">
        <v>1</v>
      </c>
      <c r="N259" t="s">
        <v>23</v>
      </c>
      <c r="O259" t="s">
        <v>23</v>
      </c>
      <c r="P259" t="s">
        <v>24</v>
      </c>
      <c r="Q259" t="s">
        <v>22</v>
      </c>
    </row>
    <row r="260" spans="1:17">
      <c r="A260" t="s">
        <v>307</v>
      </c>
      <c r="B260" t="s">
        <v>30</v>
      </c>
      <c r="C260" t="s">
        <v>55</v>
      </c>
      <c r="D260" t="s">
        <v>47</v>
      </c>
      <c r="E260" t="s">
        <v>103</v>
      </c>
      <c r="F260" s="2">
        <v>18358.62</v>
      </c>
      <c r="G260" s="3">
        <v>30</v>
      </c>
      <c r="H260" s="3">
        <v>43</v>
      </c>
      <c r="I260" s="3">
        <v>2</v>
      </c>
      <c r="J260" s="3">
        <v>49</v>
      </c>
      <c r="K260" s="3">
        <v>170</v>
      </c>
      <c r="L260" t="s">
        <v>22</v>
      </c>
      <c r="M260" s="3">
        <v>2</v>
      </c>
      <c r="N260" t="s">
        <v>23</v>
      </c>
      <c r="O260" t="s">
        <v>22</v>
      </c>
      <c r="P260" t="s">
        <v>35</v>
      </c>
      <c r="Q260" t="s">
        <v>23</v>
      </c>
    </row>
    <row r="261" spans="1:17">
      <c r="A261" t="s">
        <v>308</v>
      </c>
      <c r="B261" t="s">
        <v>30</v>
      </c>
      <c r="C261" t="s">
        <v>52</v>
      </c>
      <c r="D261" t="s">
        <v>47</v>
      </c>
      <c r="E261" t="s">
        <v>48</v>
      </c>
      <c r="F261" s="2">
        <v>14875.07</v>
      </c>
      <c r="G261" s="3">
        <v>60</v>
      </c>
      <c r="H261" s="3">
        <v>17</v>
      </c>
      <c r="I261" s="3">
        <v>0</v>
      </c>
      <c r="J261" s="3">
        <v>69</v>
      </c>
      <c r="K261" s="3">
        <v>24</v>
      </c>
      <c r="L261" t="s">
        <v>22</v>
      </c>
      <c r="M261" s="3">
        <v>0</v>
      </c>
      <c r="N261" t="s">
        <v>23</v>
      </c>
      <c r="O261" t="s">
        <v>22</v>
      </c>
      <c r="P261" t="s">
        <v>24</v>
      </c>
      <c r="Q261" t="s">
        <v>22</v>
      </c>
    </row>
    <row r="262" spans="1:17">
      <c r="A262" t="s">
        <v>309</v>
      </c>
      <c r="B262" t="s">
        <v>18</v>
      </c>
      <c r="C262" t="s">
        <v>19</v>
      </c>
      <c r="D262" t="s">
        <v>38</v>
      </c>
      <c r="E262" t="s">
        <v>50</v>
      </c>
      <c r="F262" s="2">
        <v>3026.74</v>
      </c>
      <c r="G262" s="3">
        <v>15</v>
      </c>
      <c r="H262" s="3">
        <v>28</v>
      </c>
      <c r="I262" s="3">
        <v>2</v>
      </c>
      <c r="J262" s="3">
        <v>23</v>
      </c>
      <c r="K262" s="3">
        <v>92</v>
      </c>
      <c r="L262" t="s">
        <v>22</v>
      </c>
      <c r="M262" s="3">
        <v>2</v>
      </c>
      <c r="N262" t="s">
        <v>23</v>
      </c>
      <c r="O262" t="s">
        <v>23</v>
      </c>
      <c r="P262" t="s">
        <v>24</v>
      </c>
      <c r="Q262" t="s">
        <v>23</v>
      </c>
    </row>
    <row r="263" spans="1:17">
      <c r="A263" t="s">
        <v>310</v>
      </c>
      <c r="B263" t="s">
        <v>30</v>
      </c>
      <c r="C263" t="s">
        <v>52</v>
      </c>
      <c r="D263" t="s">
        <v>47</v>
      </c>
      <c r="E263" t="s">
        <v>53</v>
      </c>
      <c r="F263" s="2">
        <v>26160.39</v>
      </c>
      <c r="G263" s="3">
        <v>30</v>
      </c>
      <c r="H263" s="3">
        <v>20</v>
      </c>
      <c r="I263" s="3">
        <v>1</v>
      </c>
      <c r="J263" s="3">
        <v>30</v>
      </c>
      <c r="K263" s="3">
        <v>82</v>
      </c>
      <c r="L263" t="s">
        <v>23</v>
      </c>
      <c r="M263" s="3">
        <v>3</v>
      </c>
      <c r="N263" t="s">
        <v>22</v>
      </c>
      <c r="O263" t="s">
        <v>22</v>
      </c>
      <c r="P263" t="s">
        <v>28</v>
      </c>
      <c r="Q263" t="s">
        <v>23</v>
      </c>
    </row>
    <row r="264" spans="1:17">
      <c r="A264" t="s">
        <v>311</v>
      </c>
      <c r="B264" t="s">
        <v>30</v>
      </c>
      <c r="C264" t="s">
        <v>52</v>
      </c>
      <c r="D264" t="s">
        <v>38</v>
      </c>
      <c r="E264" t="s">
        <v>43</v>
      </c>
      <c r="F264" s="2">
        <v>14535.46</v>
      </c>
      <c r="G264" s="3">
        <v>30</v>
      </c>
      <c r="H264" s="3">
        <v>53</v>
      </c>
      <c r="I264" s="3">
        <v>1</v>
      </c>
      <c r="J264" s="3">
        <v>32</v>
      </c>
      <c r="K264" s="3">
        <v>121</v>
      </c>
      <c r="L264" t="s">
        <v>22</v>
      </c>
      <c r="M264" s="3">
        <v>0</v>
      </c>
      <c r="N264" t="s">
        <v>23</v>
      </c>
      <c r="O264" t="s">
        <v>23</v>
      </c>
      <c r="P264" t="s">
        <v>35</v>
      </c>
      <c r="Q264" t="s">
        <v>22</v>
      </c>
    </row>
    <row r="265" spans="1:17">
      <c r="A265" t="s">
        <v>312</v>
      </c>
      <c r="B265" t="s">
        <v>30</v>
      </c>
      <c r="C265" t="s">
        <v>31</v>
      </c>
      <c r="D265" t="s">
        <v>66</v>
      </c>
      <c r="E265" t="s">
        <v>53</v>
      </c>
      <c r="F265" s="2">
        <v>19163.39</v>
      </c>
      <c r="G265" s="3">
        <v>45</v>
      </c>
      <c r="H265" s="3">
        <v>72</v>
      </c>
      <c r="I265" s="3">
        <v>1</v>
      </c>
      <c r="J265" s="3">
        <v>47</v>
      </c>
      <c r="K265" s="3">
        <v>50</v>
      </c>
      <c r="L265" t="s">
        <v>22</v>
      </c>
      <c r="M265" s="3">
        <v>0</v>
      </c>
      <c r="N265" t="s">
        <v>23</v>
      </c>
      <c r="O265" t="s">
        <v>22</v>
      </c>
      <c r="P265" t="s">
        <v>24</v>
      </c>
      <c r="Q265" t="s">
        <v>23</v>
      </c>
    </row>
    <row r="266" spans="1:17">
      <c r="A266" t="s">
        <v>313</v>
      </c>
      <c r="B266" t="s">
        <v>30</v>
      </c>
      <c r="C266" t="s">
        <v>55</v>
      </c>
      <c r="D266" t="s">
        <v>38</v>
      </c>
      <c r="E266" t="s">
        <v>50</v>
      </c>
      <c r="F266" s="2">
        <v>14299.86</v>
      </c>
      <c r="G266" s="3">
        <v>30</v>
      </c>
      <c r="H266" s="3">
        <v>55</v>
      </c>
      <c r="I266" s="3">
        <v>0</v>
      </c>
      <c r="J266" s="3">
        <v>20</v>
      </c>
      <c r="K266" s="3">
        <v>133</v>
      </c>
      <c r="L266" t="s">
        <v>22</v>
      </c>
      <c r="M266" s="3">
        <v>0</v>
      </c>
      <c r="N266" t="s">
        <v>23</v>
      </c>
      <c r="O266" t="s">
        <v>23</v>
      </c>
      <c r="P266" t="s">
        <v>24</v>
      </c>
      <c r="Q266" t="s">
        <v>22</v>
      </c>
    </row>
    <row r="267" spans="1:17">
      <c r="A267" t="s">
        <v>314</v>
      </c>
      <c r="B267" t="s">
        <v>46</v>
      </c>
      <c r="C267" t="s">
        <v>55</v>
      </c>
      <c r="D267" t="s">
        <v>20</v>
      </c>
      <c r="E267" t="s">
        <v>58</v>
      </c>
      <c r="F267" s="2">
        <v>69722.53</v>
      </c>
      <c r="G267" s="3">
        <v>30</v>
      </c>
      <c r="H267" s="3">
        <v>97</v>
      </c>
      <c r="I267" s="3">
        <v>0</v>
      </c>
      <c r="J267" s="3">
        <v>33</v>
      </c>
      <c r="K267" s="3">
        <v>163</v>
      </c>
      <c r="L267" t="s">
        <v>22</v>
      </c>
      <c r="M267" s="3">
        <v>2</v>
      </c>
      <c r="N267" t="s">
        <v>23</v>
      </c>
      <c r="O267" t="s">
        <v>22</v>
      </c>
      <c r="P267" t="s">
        <v>28</v>
      </c>
      <c r="Q267" t="s">
        <v>23</v>
      </c>
    </row>
    <row r="268" spans="1:17">
      <c r="A268" t="s">
        <v>315</v>
      </c>
      <c r="B268" t="s">
        <v>18</v>
      </c>
      <c r="C268" t="s">
        <v>52</v>
      </c>
      <c r="D268" t="s">
        <v>27</v>
      </c>
      <c r="E268" t="s">
        <v>34</v>
      </c>
      <c r="F268" s="2">
        <v>1465.01</v>
      </c>
      <c r="G268" s="3">
        <v>30</v>
      </c>
      <c r="H268" s="3">
        <v>21</v>
      </c>
      <c r="I268" s="3">
        <v>1</v>
      </c>
      <c r="J268" s="3">
        <v>31</v>
      </c>
      <c r="K268" s="3">
        <v>146</v>
      </c>
      <c r="L268" t="s">
        <v>23</v>
      </c>
      <c r="M268" s="3">
        <v>4</v>
      </c>
      <c r="N268" t="s">
        <v>22</v>
      </c>
      <c r="O268" t="s">
        <v>22</v>
      </c>
      <c r="P268" t="s">
        <v>24</v>
      </c>
      <c r="Q268" t="s">
        <v>23</v>
      </c>
    </row>
    <row r="269" spans="1:17">
      <c r="A269" t="s">
        <v>316</v>
      </c>
      <c r="B269" t="s">
        <v>30</v>
      </c>
      <c r="C269" t="s">
        <v>26</v>
      </c>
      <c r="D269" t="s">
        <v>66</v>
      </c>
      <c r="E269" t="s">
        <v>48</v>
      </c>
      <c r="F269" s="2">
        <v>6362.86</v>
      </c>
      <c r="G269" s="3">
        <v>30</v>
      </c>
      <c r="H269" s="3">
        <v>43</v>
      </c>
      <c r="I269" s="3">
        <v>0</v>
      </c>
      <c r="J269" s="3">
        <v>23</v>
      </c>
      <c r="K269" s="3">
        <v>18</v>
      </c>
      <c r="L269" t="s">
        <v>22</v>
      </c>
      <c r="M269" s="3">
        <v>0</v>
      </c>
      <c r="N269" t="s">
        <v>23</v>
      </c>
      <c r="O269" t="s">
        <v>22</v>
      </c>
      <c r="P269" t="s">
        <v>35</v>
      </c>
      <c r="Q269" t="s">
        <v>22</v>
      </c>
    </row>
    <row r="270" spans="1:17">
      <c r="A270" t="s">
        <v>317</v>
      </c>
      <c r="B270" t="s">
        <v>18</v>
      </c>
      <c r="C270" t="s">
        <v>55</v>
      </c>
      <c r="D270" t="s">
        <v>38</v>
      </c>
      <c r="E270" t="s">
        <v>53</v>
      </c>
      <c r="F270" s="2">
        <v>3005.16</v>
      </c>
      <c r="G270" s="3">
        <v>30</v>
      </c>
      <c r="H270" s="3">
        <v>31</v>
      </c>
      <c r="I270" s="3">
        <v>0</v>
      </c>
      <c r="J270" s="3">
        <v>41</v>
      </c>
      <c r="K270" s="3">
        <v>137</v>
      </c>
      <c r="L270" t="s">
        <v>22</v>
      </c>
      <c r="M270" s="3">
        <v>0</v>
      </c>
      <c r="N270" t="s">
        <v>23</v>
      </c>
      <c r="O270" t="s">
        <v>22</v>
      </c>
      <c r="P270" t="s">
        <v>28</v>
      </c>
      <c r="Q270" t="s">
        <v>23</v>
      </c>
    </row>
    <row r="271" spans="1:17">
      <c r="A271" t="s">
        <v>318</v>
      </c>
      <c r="B271" t="s">
        <v>46</v>
      </c>
      <c r="C271" t="s">
        <v>52</v>
      </c>
      <c r="D271" t="s">
        <v>66</v>
      </c>
      <c r="E271" t="s">
        <v>58</v>
      </c>
      <c r="F271" s="2">
        <v>94238.02</v>
      </c>
      <c r="G271" s="3">
        <v>45</v>
      </c>
      <c r="H271" s="3">
        <v>76</v>
      </c>
      <c r="I271" s="3">
        <v>0</v>
      </c>
      <c r="J271" s="3">
        <v>55</v>
      </c>
      <c r="K271" s="3">
        <v>31</v>
      </c>
      <c r="L271" t="s">
        <v>22</v>
      </c>
      <c r="M271" s="3">
        <v>2</v>
      </c>
      <c r="N271" t="s">
        <v>23</v>
      </c>
      <c r="O271" t="s">
        <v>23</v>
      </c>
      <c r="P271" t="s">
        <v>28</v>
      </c>
      <c r="Q271" t="s">
        <v>22</v>
      </c>
    </row>
    <row r="272" spans="1:17">
      <c r="A272" t="s">
        <v>319</v>
      </c>
      <c r="B272" t="s">
        <v>18</v>
      </c>
      <c r="C272" t="s">
        <v>55</v>
      </c>
      <c r="D272" t="s">
        <v>38</v>
      </c>
      <c r="E272" t="s">
        <v>34</v>
      </c>
      <c r="F272" s="2">
        <v>1683.94</v>
      </c>
      <c r="G272" s="3">
        <v>30</v>
      </c>
      <c r="H272" s="3">
        <v>13</v>
      </c>
      <c r="I272" s="3">
        <v>2</v>
      </c>
      <c r="J272" s="3">
        <v>40</v>
      </c>
      <c r="K272" s="3">
        <v>48</v>
      </c>
      <c r="L272" t="s">
        <v>22</v>
      </c>
      <c r="M272" s="3">
        <v>2</v>
      </c>
      <c r="N272" t="s">
        <v>23</v>
      </c>
      <c r="O272" t="s">
        <v>23</v>
      </c>
      <c r="P272" t="s">
        <v>28</v>
      </c>
      <c r="Q272" t="s">
        <v>22</v>
      </c>
    </row>
    <row r="273" spans="1:17">
      <c r="A273" t="s">
        <v>320</v>
      </c>
      <c r="B273" t="s">
        <v>30</v>
      </c>
      <c r="C273" t="s">
        <v>55</v>
      </c>
      <c r="D273" t="s">
        <v>27</v>
      </c>
      <c r="E273" t="s">
        <v>58</v>
      </c>
      <c r="F273" s="2">
        <v>12140.79</v>
      </c>
      <c r="G273" s="3">
        <v>45</v>
      </c>
      <c r="H273" s="3">
        <v>54</v>
      </c>
      <c r="I273" s="3">
        <v>0</v>
      </c>
      <c r="J273" s="3">
        <v>59</v>
      </c>
      <c r="K273" s="3">
        <v>24</v>
      </c>
      <c r="L273" t="s">
        <v>22</v>
      </c>
      <c r="M273" s="3">
        <v>1</v>
      </c>
      <c r="N273" t="s">
        <v>22</v>
      </c>
      <c r="O273" t="s">
        <v>22</v>
      </c>
      <c r="P273" t="s">
        <v>28</v>
      </c>
      <c r="Q273" t="s">
        <v>23</v>
      </c>
    </row>
    <row r="274" spans="1:17">
      <c r="A274" t="s">
        <v>321</v>
      </c>
      <c r="B274" t="s">
        <v>46</v>
      </c>
      <c r="C274" t="s">
        <v>55</v>
      </c>
      <c r="D274" t="s">
        <v>20</v>
      </c>
      <c r="E274" t="s">
        <v>103</v>
      </c>
      <c r="F274" s="2">
        <v>36712.32</v>
      </c>
      <c r="G274" s="3">
        <v>15</v>
      </c>
      <c r="H274" s="3">
        <v>116</v>
      </c>
      <c r="I274" s="3">
        <v>0</v>
      </c>
      <c r="J274" s="3">
        <v>23</v>
      </c>
      <c r="K274" s="3">
        <v>81</v>
      </c>
      <c r="L274" t="s">
        <v>22</v>
      </c>
      <c r="M274" s="3">
        <v>2</v>
      </c>
      <c r="N274" t="s">
        <v>22</v>
      </c>
      <c r="O274" t="s">
        <v>22</v>
      </c>
      <c r="P274" t="s">
        <v>35</v>
      </c>
      <c r="Q274" t="s">
        <v>22</v>
      </c>
    </row>
    <row r="275" spans="1:17">
      <c r="A275" t="s">
        <v>322</v>
      </c>
      <c r="B275" t="s">
        <v>18</v>
      </c>
      <c r="C275" t="s">
        <v>52</v>
      </c>
      <c r="D275" t="s">
        <v>66</v>
      </c>
      <c r="E275" t="s">
        <v>43</v>
      </c>
      <c r="F275" s="2">
        <v>4996</v>
      </c>
      <c r="G275" s="3">
        <v>30</v>
      </c>
      <c r="H275" s="3">
        <v>39</v>
      </c>
      <c r="I275" s="3">
        <v>3</v>
      </c>
      <c r="J275" s="3">
        <v>44</v>
      </c>
      <c r="K275" s="3">
        <v>124</v>
      </c>
      <c r="L275" t="s">
        <v>22</v>
      </c>
      <c r="M275" s="3">
        <v>4</v>
      </c>
      <c r="N275" t="s">
        <v>22</v>
      </c>
      <c r="O275" t="s">
        <v>22</v>
      </c>
      <c r="P275" t="s">
        <v>24</v>
      </c>
      <c r="Q275" t="s">
        <v>23</v>
      </c>
    </row>
    <row r="276" spans="1:17">
      <c r="A276" t="s">
        <v>323</v>
      </c>
      <c r="B276" t="s">
        <v>30</v>
      </c>
      <c r="C276" t="s">
        <v>52</v>
      </c>
      <c r="D276" t="s">
        <v>27</v>
      </c>
      <c r="E276" t="s">
        <v>103</v>
      </c>
      <c r="F276" s="2">
        <v>25909.22</v>
      </c>
      <c r="G276" s="3">
        <v>15</v>
      </c>
      <c r="H276" s="3">
        <v>48</v>
      </c>
      <c r="I276" s="3">
        <v>2</v>
      </c>
      <c r="J276" s="3">
        <v>24</v>
      </c>
      <c r="K276" s="3">
        <v>171</v>
      </c>
      <c r="L276" t="s">
        <v>22</v>
      </c>
      <c r="M276" s="3">
        <v>1</v>
      </c>
      <c r="N276" t="s">
        <v>23</v>
      </c>
      <c r="O276" t="s">
        <v>22</v>
      </c>
      <c r="P276" t="s">
        <v>24</v>
      </c>
      <c r="Q276" t="s">
        <v>23</v>
      </c>
    </row>
    <row r="277" spans="1:17">
      <c r="A277" t="s">
        <v>324</v>
      </c>
      <c r="B277" t="s">
        <v>18</v>
      </c>
      <c r="C277" t="s">
        <v>52</v>
      </c>
      <c r="D277" t="s">
        <v>20</v>
      </c>
      <c r="E277" t="s">
        <v>40</v>
      </c>
      <c r="F277" s="2">
        <v>4113.34</v>
      </c>
      <c r="G277" s="3">
        <v>45</v>
      </c>
      <c r="H277" s="3">
        <v>44</v>
      </c>
      <c r="I277" s="3">
        <v>4</v>
      </c>
      <c r="J277" s="3">
        <v>64</v>
      </c>
      <c r="K277" s="3">
        <v>40</v>
      </c>
      <c r="L277" t="s">
        <v>22</v>
      </c>
      <c r="M277" s="3">
        <v>4</v>
      </c>
      <c r="N277" t="s">
        <v>22</v>
      </c>
      <c r="O277" t="s">
        <v>22</v>
      </c>
      <c r="P277" t="s">
        <v>28</v>
      </c>
      <c r="Q277" t="s">
        <v>23</v>
      </c>
    </row>
    <row r="278" spans="1:17">
      <c r="A278" t="s">
        <v>325</v>
      </c>
      <c r="B278" t="s">
        <v>18</v>
      </c>
      <c r="C278" t="s">
        <v>37</v>
      </c>
      <c r="D278" t="s">
        <v>42</v>
      </c>
      <c r="E278" t="s">
        <v>21</v>
      </c>
      <c r="F278" s="2">
        <v>1936.87</v>
      </c>
      <c r="G278" s="3">
        <v>30</v>
      </c>
      <c r="H278" s="3">
        <v>38</v>
      </c>
      <c r="I278" s="3">
        <v>0</v>
      </c>
      <c r="J278" s="3">
        <v>36</v>
      </c>
      <c r="K278" s="3">
        <v>10</v>
      </c>
      <c r="L278" t="s">
        <v>23</v>
      </c>
      <c r="M278" s="3">
        <v>3</v>
      </c>
      <c r="N278" t="s">
        <v>23</v>
      </c>
      <c r="O278" t="s">
        <v>22</v>
      </c>
      <c r="P278" t="s">
        <v>28</v>
      </c>
      <c r="Q278" t="s">
        <v>22</v>
      </c>
    </row>
    <row r="279" spans="1:17">
      <c r="A279" t="s">
        <v>326</v>
      </c>
      <c r="B279" t="s">
        <v>30</v>
      </c>
      <c r="C279" t="s">
        <v>31</v>
      </c>
      <c r="D279" t="s">
        <v>47</v>
      </c>
      <c r="E279" t="s">
        <v>21</v>
      </c>
      <c r="F279" s="2">
        <v>17718.82</v>
      </c>
      <c r="G279" s="3">
        <v>30</v>
      </c>
      <c r="H279" s="3">
        <v>34</v>
      </c>
      <c r="I279" s="3">
        <v>0</v>
      </c>
      <c r="J279" s="3">
        <v>24</v>
      </c>
      <c r="K279" s="3">
        <v>125</v>
      </c>
      <c r="L279" t="s">
        <v>22</v>
      </c>
      <c r="M279" s="3">
        <v>2</v>
      </c>
      <c r="N279" t="s">
        <v>22</v>
      </c>
      <c r="O279" t="s">
        <v>22</v>
      </c>
      <c r="P279" t="s">
        <v>35</v>
      </c>
      <c r="Q279" t="s">
        <v>22</v>
      </c>
    </row>
    <row r="280" spans="1:17">
      <c r="A280" t="s">
        <v>327</v>
      </c>
      <c r="B280" t="s">
        <v>18</v>
      </c>
      <c r="C280" t="s">
        <v>31</v>
      </c>
      <c r="D280" t="s">
        <v>20</v>
      </c>
      <c r="E280" t="s">
        <v>85</v>
      </c>
      <c r="F280" s="2">
        <v>6470.01</v>
      </c>
      <c r="G280" s="3">
        <v>30</v>
      </c>
      <c r="H280" s="3">
        <v>8</v>
      </c>
      <c r="I280" s="3">
        <v>1</v>
      </c>
      <c r="J280" s="3">
        <v>24</v>
      </c>
      <c r="K280" s="3">
        <v>168</v>
      </c>
      <c r="L280" t="s">
        <v>22</v>
      </c>
      <c r="M280" s="3">
        <v>2</v>
      </c>
      <c r="N280" t="s">
        <v>23</v>
      </c>
      <c r="O280" t="s">
        <v>22</v>
      </c>
      <c r="P280" t="s">
        <v>24</v>
      </c>
      <c r="Q280" t="s">
        <v>22</v>
      </c>
    </row>
    <row r="281" spans="1:17">
      <c r="A281" t="s">
        <v>328</v>
      </c>
      <c r="B281" t="s">
        <v>30</v>
      </c>
      <c r="C281" t="s">
        <v>26</v>
      </c>
      <c r="D281" t="s">
        <v>27</v>
      </c>
      <c r="E281" t="s">
        <v>50</v>
      </c>
      <c r="F281" s="2">
        <v>26660.799999999999</v>
      </c>
      <c r="G281" s="3">
        <v>60</v>
      </c>
      <c r="H281" s="3">
        <v>13</v>
      </c>
      <c r="I281" s="3">
        <v>0</v>
      </c>
      <c r="J281" s="3">
        <v>69</v>
      </c>
      <c r="K281" s="3">
        <v>173</v>
      </c>
      <c r="L281" t="s">
        <v>22</v>
      </c>
      <c r="M281" s="3">
        <v>0</v>
      </c>
      <c r="N281" t="s">
        <v>23</v>
      </c>
      <c r="O281" t="s">
        <v>22</v>
      </c>
      <c r="P281" t="s">
        <v>35</v>
      </c>
      <c r="Q281" t="s">
        <v>23</v>
      </c>
    </row>
    <row r="282" spans="1:17">
      <c r="A282" t="s">
        <v>329</v>
      </c>
      <c r="B282" t="s">
        <v>30</v>
      </c>
      <c r="C282" t="s">
        <v>19</v>
      </c>
      <c r="D282" t="s">
        <v>38</v>
      </c>
      <c r="E282" t="s">
        <v>21</v>
      </c>
      <c r="F282" s="2">
        <v>16167.79</v>
      </c>
      <c r="G282" s="3">
        <v>15</v>
      </c>
      <c r="H282" s="3">
        <v>78</v>
      </c>
      <c r="I282" s="3">
        <v>0</v>
      </c>
      <c r="J282" s="3">
        <v>15</v>
      </c>
      <c r="K282" s="3">
        <v>38</v>
      </c>
      <c r="L282" t="s">
        <v>22</v>
      </c>
      <c r="M282" s="3">
        <v>0</v>
      </c>
      <c r="N282" t="s">
        <v>23</v>
      </c>
      <c r="O282" t="s">
        <v>23</v>
      </c>
      <c r="P282" t="s">
        <v>35</v>
      </c>
      <c r="Q282" t="s">
        <v>22</v>
      </c>
    </row>
    <row r="283" spans="1:17">
      <c r="A283" t="s">
        <v>330</v>
      </c>
      <c r="B283" t="s">
        <v>18</v>
      </c>
      <c r="C283" t="s">
        <v>52</v>
      </c>
      <c r="D283" t="s">
        <v>27</v>
      </c>
      <c r="E283" t="s">
        <v>58</v>
      </c>
      <c r="F283" s="2">
        <v>6230.3</v>
      </c>
      <c r="G283" s="3">
        <v>30</v>
      </c>
      <c r="H283" s="3">
        <v>48</v>
      </c>
      <c r="I283" s="3">
        <v>1</v>
      </c>
      <c r="J283" s="3">
        <v>27</v>
      </c>
      <c r="K283" s="3">
        <v>17</v>
      </c>
      <c r="L283" t="s">
        <v>22</v>
      </c>
      <c r="M283" s="3">
        <v>1</v>
      </c>
      <c r="N283" t="s">
        <v>23</v>
      </c>
      <c r="O283" t="s">
        <v>22</v>
      </c>
      <c r="P283" t="s">
        <v>24</v>
      </c>
      <c r="Q283" t="s">
        <v>22</v>
      </c>
    </row>
    <row r="284" spans="1:17">
      <c r="A284" t="s">
        <v>331</v>
      </c>
      <c r="B284" t="s">
        <v>30</v>
      </c>
      <c r="C284" t="s">
        <v>31</v>
      </c>
      <c r="D284" t="s">
        <v>66</v>
      </c>
      <c r="E284" t="s">
        <v>34</v>
      </c>
      <c r="F284" s="2">
        <v>18315.55</v>
      </c>
      <c r="G284" s="3">
        <v>30</v>
      </c>
      <c r="H284" s="3">
        <v>50</v>
      </c>
      <c r="I284" s="3">
        <v>0</v>
      </c>
      <c r="J284" s="3">
        <v>18</v>
      </c>
      <c r="K284" s="3">
        <v>12</v>
      </c>
      <c r="L284" t="s">
        <v>22</v>
      </c>
      <c r="M284" s="3">
        <v>1</v>
      </c>
      <c r="N284" t="s">
        <v>23</v>
      </c>
      <c r="O284" t="s">
        <v>22</v>
      </c>
      <c r="P284" t="s">
        <v>24</v>
      </c>
      <c r="Q284" t="s">
        <v>22</v>
      </c>
    </row>
    <row r="285" spans="1:17">
      <c r="A285" t="s">
        <v>332</v>
      </c>
      <c r="B285" t="s">
        <v>18</v>
      </c>
      <c r="C285" t="s">
        <v>52</v>
      </c>
      <c r="D285" t="s">
        <v>42</v>
      </c>
      <c r="E285" t="s">
        <v>21</v>
      </c>
      <c r="F285" s="2">
        <v>3235.68</v>
      </c>
      <c r="G285" s="3">
        <v>60</v>
      </c>
      <c r="H285" s="3">
        <v>22</v>
      </c>
      <c r="I285" s="3">
        <v>0</v>
      </c>
      <c r="J285" s="3">
        <v>73</v>
      </c>
      <c r="K285" s="3">
        <v>88</v>
      </c>
      <c r="L285" t="s">
        <v>22</v>
      </c>
      <c r="M285" s="3">
        <v>0</v>
      </c>
      <c r="N285" t="s">
        <v>23</v>
      </c>
      <c r="O285" t="s">
        <v>22</v>
      </c>
      <c r="P285" t="s">
        <v>35</v>
      </c>
      <c r="Q285" t="s">
        <v>22</v>
      </c>
    </row>
    <row r="286" spans="1:17">
      <c r="A286" t="s">
        <v>333</v>
      </c>
      <c r="B286" t="s">
        <v>18</v>
      </c>
      <c r="C286" t="s">
        <v>55</v>
      </c>
      <c r="D286" t="s">
        <v>20</v>
      </c>
      <c r="E286" t="s">
        <v>34</v>
      </c>
      <c r="F286" s="2">
        <v>7569.71</v>
      </c>
      <c r="G286" s="3">
        <v>45</v>
      </c>
      <c r="H286" s="3">
        <v>14</v>
      </c>
      <c r="I286" s="3">
        <v>0</v>
      </c>
      <c r="J286" s="3">
        <v>47</v>
      </c>
      <c r="K286" s="3">
        <v>37</v>
      </c>
      <c r="L286" t="s">
        <v>22</v>
      </c>
      <c r="M286" s="3">
        <v>0</v>
      </c>
      <c r="N286" t="s">
        <v>23</v>
      </c>
      <c r="O286" t="s">
        <v>22</v>
      </c>
      <c r="P286" t="s">
        <v>28</v>
      </c>
      <c r="Q286" t="s">
        <v>22</v>
      </c>
    </row>
    <row r="287" spans="1:17">
      <c r="A287" t="s">
        <v>334</v>
      </c>
      <c r="B287" t="s">
        <v>46</v>
      </c>
      <c r="C287" t="s">
        <v>19</v>
      </c>
      <c r="D287" t="s">
        <v>42</v>
      </c>
      <c r="E287" t="s">
        <v>32</v>
      </c>
      <c r="F287" s="2">
        <v>72571.8</v>
      </c>
      <c r="G287" s="3">
        <v>30</v>
      </c>
      <c r="H287" s="3">
        <v>104</v>
      </c>
      <c r="I287" s="3">
        <v>0</v>
      </c>
      <c r="J287" s="3">
        <v>32</v>
      </c>
      <c r="K287" s="3">
        <v>158</v>
      </c>
      <c r="L287" t="s">
        <v>22</v>
      </c>
      <c r="M287" s="3">
        <v>0</v>
      </c>
      <c r="N287" t="s">
        <v>23</v>
      </c>
      <c r="O287" t="s">
        <v>23</v>
      </c>
      <c r="P287" t="s">
        <v>24</v>
      </c>
      <c r="Q287" t="s">
        <v>23</v>
      </c>
    </row>
    <row r="288" spans="1:17">
      <c r="A288" t="s">
        <v>335</v>
      </c>
      <c r="B288" t="s">
        <v>46</v>
      </c>
      <c r="C288" t="s">
        <v>31</v>
      </c>
      <c r="D288" t="s">
        <v>20</v>
      </c>
      <c r="E288" t="s">
        <v>40</v>
      </c>
      <c r="F288" s="2">
        <v>47739.24</v>
      </c>
      <c r="G288" s="3">
        <v>30</v>
      </c>
      <c r="H288" s="3">
        <v>39</v>
      </c>
      <c r="I288" s="3">
        <v>0</v>
      </c>
      <c r="J288" s="3">
        <v>37</v>
      </c>
      <c r="K288" s="3">
        <v>129</v>
      </c>
      <c r="L288" t="s">
        <v>22</v>
      </c>
      <c r="M288" s="3">
        <v>1</v>
      </c>
      <c r="N288" t="s">
        <v>22</v>
      </c>
      <c r="O288" t="s">
        <v>23</v>
      </c>
      <c r="P288" t="s">
        <v>28</v>
      </c>
      <c r="Q288" t="s">
        <v>23</v>
      </c>
    </row>
    <row r="289" spans="1:17">
      <c r="A289" t="s">
        <v>336</v>
      </c>
      <c r="B289" t="s">
        <v>18</v>
      </c>
      <c r="C289" t="s">
        <v>26</v>
      </c>
      <c r="D289" t="s">
        <v>20</v>
      </c>
      <c r="E289" t="s">
        <v>53</v>
      </c>
      <c r="F289" s="2">
        <v>1079.1199999999999</v>
      </c>
      <c r="G289" s="3">
        <v>45</v>
      </c>
      <c r="H289" s="3">
        <v>32</v>
      </c>
      <c r="I289" s="3">
        <v>1</v>
      </c>
      <c r="J289" s="3">
        <v>49</v>
      </c>
      <c r="K289" s="3">
        <v>155</v>
      </c>
      <c r="L289" t="s">
        <v>22</v>
      </c>
      <c r="M289" s="3">
        <v>1</v>
      </c>
      <c r="N289" t="s">
        <v>23</v>
      </c>
      <c r="O289" t="s">
        <v>22</v>
      </c>
      <c r="P289" t="s">
        <v>24</v>
      </c>
      <c r="Q289" t="s">
        <v>22</v>
      </c>
    </row>
    <row r="290" spans="1:17">
      <c r="A290" t="s">
        <v>337</v>
      </c>
      <c r="B290" t="s">
        <v>18</v>
      </c>
      <c r="C290" t="s">
        <v>52</v>
      </c>
      <c r="D290" t="s">
        <v>20</v>
      </c>
      <c r="E290" t="s">
        <v>43</v>
      </c>
      <c r="F290" s="2">
        <v>8460.69</v>
      </c>
      <c r="G290" s="3">
        <v>45</v>
      </c>
      <c r="H290" s="3">
        <v>31</v>
      </c>
      <c r="I290" s="3">
        <v>2</v>
      </c>
      <c r="J290" s="3">
        <v>47</v>
      </c>
      <c r="K290" s="3">
        <v>50</v>
      </c>
      <c r="L290" t="s">
        <v>22</v>
      </c>
      <c r="M290" s="3">
        <v>2</v>
      </c>
      <c r="N290" t="s">
        <v>22</v>
      </c>
      <c r="O290" t="s">
        <v>22</v>
      </c>
      <c r="P290" t="s">
        <v>35</v>
      </c>
      <c r="Q290" t="s">
        <v>22</v>
      </c>
    </row>
    <row r="291" spans="1:17">
      <c r="A291" t="s">
        <v>338</v>
      </c>
      <c r="B291" t="s">
        <v>18</v>
      </c>
      <c r="C291" t="s">
        <v>19</v>
      </c>
      <c r="D291" t="s">
        <v>47</v>
      </c>
      <c r="E291" t="s">
        <v>40</v>
      </c>
      <c r="F291" s="2">
        <v>3055.92</v>
      </c>
      <c r="G291" s="3">
        <v>30</v>
      </c>
      <c r="H291" s="3">
        <v>18</v>
      </c>
      <c r="I291" s="3">
        <v>0</v>
      </c>
      <c r="J291" s="3">
        <v>38</v>
      </c>
      <c r="K291" s="3">
        <v>174</v>
      </c>
      <c r="L291" t="s">
        <v>22</v>
      </c>
      <c r="M291" s="3">
        <v>0</v>
      </c>
      <c r="N291" t="s">
        <v>23</v>
      </c>
      <c r="O291" t="s">
        <v>23</v>
      </c>
      <c r="P291" t="s">
        <v>24</v>
      </c>
      <c r="Q291" t="s">
        <v>22</v>
      </c>
    </row>
    <row r="292" spans="1:17">
      <c r="A292" t="s">
        <v>339</v>
      </c>
      <c r="B292" t="s">
        <v>30</v>
      </c>
      <c r="C292" t="s">
        <v>55</v>
      </c>
      <c r="D292" t="s">
        <v>66</v>
      </c>
      <c r="E292" t="s">
        <v>85</v>
      </c>
      <c r="F292" s="2">
        <v>13798.58</v>
      </c>
      <c r="G292" s="3">
        <v>45</v>
      </c>
      <c r="H292" s="3">
        <v>79</v>
      </c>
      <c r="I292" s="3">
        <v>1</v>
      </c>
      <c r="J292" s="3">
        <v>47</v>
      </c>
      <c r="K292" s="3">
        <v>81</v>
      </c>
      <c r="L292" t="s">
        <v>22</v>
      </c>
      <c r="M292" s="3">
        <v>1</v>
      </c>
      <c r="N292" t="s">
        <v>22</v>
      </c>
      <c r="O292" t="s">
        <v>22</v>
      </c>
      <c r="P292" t="s">
        <v>24</v>
      </c>
      <c r="Q292" t="s">
        <v>22</v>
      </c>
    </row>
    <row r="293" spans="1:17">
      <c r="A293" t="s">
        <v>340</v>
      </c>
      <c r="B293" t="s">
        <v>18</v>
      </c>
      <c r="C293" t="s">
        <v>26</v>
      </c>
      <c r="D293" t="s">
        <v>47</v>
      </c>
      <c r="E293" t="s">
        <v>48</v>
      </c>
      <c r="F293" s="2">
        <v>7594.01</v>
      </c>
      <c r="G293" s="3">
        <v>30</v>
      </c>
      <c r="H293" s="3">
        <v>36</v>
      </c>
      <c r="I293" s="3">
        <v>0</v>
      </c>
      <c r="J293" s="3">
        <v>38</v>
      </c>
      <c r="K293" s="3">
        <v>164</v>
      </c>
      <c r="L293" t="s">
        <v>22</v>
      </c>
      <c r="M293" s="3">
        <v>0</v>
      </c>
      <c r="N293" t="s">
        <v>23</v>
      </c>
      <c r="O293" t="s">
        <v>23</v>
      </c>
      <c r="P293" t="s">
        <v>24</v>
      </c>
      <c r="Q293" t="s">
        <v>22</v>
      </c>
    </row>
    <row r="294" spans="1:17">
      <c r="A294" t="s">
        <v>341</v>
      </c>
      <c r="B294" t="s">
        <v>30</v>
      </c>
      <c r="C294" t="s">
        <v>37</v>
      </c>
      <c r="D294" t="s">
        <v>20</v>
      </c>
      <c r="E294" t="s">
        <v>58</v>
      </c>
      <c r="F294" s="2">
        <v>31286.74</v>
      </c>
      <c r="G294" s="3">
        <v>60</v>
      </c>
      <c r="H294" s="3">
        <v>54</v>
      </c>
      <c r="I294" s="3">
        <v>0</v>
      </c>
      <c r="J294" s="3">
        <v>74</v>
      </c>
      <c r="K294" s="3">
        <v>137</v>
      </c>
      <c r="L294" t="s">
        <v>22</v>
      </c>
      <c r="M294" s="3">
        <v>0</v>
      </c>
      <c r="N294" t="s">
        <v>23</v>
      </c>
      <c r="O294" t="s">
        <v>22</v>
      </c>
      <c r="P294" t="s">
        <v>28</v>
      </c>
      <c r="Q294" t="s">
        <v>22</v>
      </c>
    </row>
    <row r="295" spans="1:17">
      <c r="A295" t="s">
        <v>342</v>
      </c>
      <c r="B295" t="s">
        <v>18</v>
      </c>
      <c r="C295" t="s">
        <v>52</v>
      </c>
      <c r="D295" t="s">
        <v>20</v>
      </c>
      <c r="E295" t="s">
        <v>34</v>
      </c>
      <c r="F295" s="2">
        <v>3265.19</v>
      </c>
      <c r="G295" s="3">
        <v>45</v>
      </c>
      <c r="H295" s="3">
        <v>15</v>
      </c>
      <c r="I295" s="3">
        <v>1</v>
      </c>
      <c r="J295" s="3">
        <v>68</v>
      </c>
      <c r="K295" s="3">
        <v>120</v>
      </c>
      <c r="L295" t="s">
        <v>22</v>
      </c>
      <c r="M295" s="3">
        <v>1</v>
      </c>
      <c r="N295" t="s">
        <v>23</v>
      </c>
      <c r="O295" t="s">
        <v>22</v>
      </c>
      <c r="P295" t="s">
        <v>24</v>
      </c>
      <c r="Q295" t="s">
        <v>23</v>
      </c>
    </row>
    <row r="296" spans="1:17">
      <c r="A296" t="s">
        <v>343</v>
      </c>
      <c r="B296" t="s">
        <v>18</v>
      </c>
      <c r="C296" t="s">
        <v>37</v>
      </c>
      <c r="D296" t="s">
        <v>38</v>
      </c>
      <c r="E296" t="s">
        <v>60</v>
      </c>
      <c r="F296" s="2">
        <v>7501.19</v>
      </c>
      <c r="G296" s="3">
        <v>30</v>
      </c>
      <c r="H296" s="3">
        <v>13</v>
      </c>
      <c r="I296" s="3">
        <v>0</v>
      </c>
      <c r="J296" s="3">
        <v>43</v>
      </c>
      <c r="K296" s="3">
        <v>75</v>
      </c>
      <c r="L296" t="s">
        <v>23</v>
      </c>
      <c r="M296" s="3">
        <v>3</v>
      </c>
      <c r="N296" t="s">
        <v>23</v>
      </c>
      <c r="O296" t="s">
        <v>22</v>
      </c>
      <c r="P296" t="s">
        <v>24</v>
      </c>
      <c r="Q296" t="s">
        <v>23</v>
      </c>
    </row>
    <row r="297" spans="1:17">
      <c r="A297" t="s">
        <v>344</v>
      </c>
      <c r="B297" t="s">
        <v>18</v>
      </c>
      <c r="C297" t="s">
        <v>37</v>
      </c>
      <c r="D297" t="s">
        <v>20</v>
      </c>
      <c r="E297" t="s">
        <v>103</v>
      </c>
      <c r="F297" s="2">
        <v>1534.85</v>
      </c>
      <c r="G297" s="3">
        <v>15</v>
      </c>
      <c r="H297" s="3">
        <v>6</v>
      </c>
      <c r="I297" s="3">
        <v>2</v>
      </c>
      <c r="J297" s="3">
        <v>20</v>
      </c>
      <c r="K297" s="3">
        <v>131</v>
      </c>
      <c r="L297" t="s">
        <v>22</v>
      </c>
      <c r="M297" s="3">
        <v>2</v>
      </c>
      <c r="N297" t="s">
        <v>23</v>
      </c>
      <c r="O297" t="s">
        <v>22</v>
      </c>
      <c r="P297" t="s">
        <v>28</v>
      </c>
      <c r="Q297" t="s">
        <v>22</v>
      </c>
    </row>
    <row r="298" spans="1:17">
      <c r="A298" t="s">
        <v>345</v>
      </c>
      <c r="B298" t="s">
        <v>46</v>
      </c>
      <c r="C298" t="s">
        <v>19</v>
      </c>
      <c r="D298" t="s">
        <v>38</v>
      </c>
      <c r="E298" t="s">
        <v>43</v>
      </c>
      <c r="F298" s="2">
        <v>66128.350000000006</v>
      </c>
      <c r="G298" s="3">
        <v>45</v>
      </c>
      <c r="H298" s="3">
        <v>120</v>
      </c>
      <c r="I298" s="3">
        <v>0</v>
      </c>
      <c r="J298" s="3">
        <v>69</v>
      </c>
      <c r="K298" s="3">
        <v>70</v>
      </c>
      <c r="L298" t="s">
        <v>23</v>
      </c>
      <c r="M298" s="3">
        <v>3</v>
      </c>
      <c r="N298" t="s">
        <v>23</v>
      </c>
      <c r="O298" t="s">
        <v>22</v>
      </c>
      <c r="P298" t="s">
        <v>24</v>
      </c>
      <c r="Q298" t="s">
        <v>23</v>
      </c>
    </row>
    <row r="299" spans="1:17">
      <c r="A299" t="s">
        <v>346</v>
      </c>
      <c r="B299" t="s">
        <v>18</v>
      </c>
      <c r="C299" t="s">
        <v>31</v>
      </c>
      <c r="D299" t="s">
        <v>38</v>
      </c>
      <c r="E299" t="s">
        <v>21</v>
      </c>
      <c r="F299" s="2">
        <v>1171.8</v>
      </c>
      <c r="G299" s="3">
        <v>30</v>
      </c>
      <c r="H299" s="3">
        <v>18</v>
      </c>
      <c r="I299" s="3">
        <v>0</v>
      </c>
      <c r="J299" s="3">
        <v>40</v>
      </c>
      <c r="K299" s="3">
        <v>175</v>
      </c>
      <c r="L299" t="s">
        <v>22</v>
      </c>
      <c r="M299" s="3">
        <v>1</v>
      </c>
      <c r="N299" t="s">
        <v>23</v>
      </c>
      <c r="O299" t="s">
        <v>22</v>
      </c>
      <c r="P299" t="s">
        <v>28</v>
      </c>
      <c r="Q299" t="s">
        <v>22</v>
      </c>
    </row>
    <row r="300" spans="1:17">
      <c r="A300" t="s">
        <v>347</v>
      </c>
      <c r="B300" t="s">
        <v>30</v>
      </c>
      <c r="C300" t="s">
        <v>31</v>
      </c>
      <c r="D300" t="s">
        <v>66</v>
      </c>
      <c r="E300" t="s">
        <v>32</v>
      </c>
      <c r="F300" s="2">
        <v>8349.0300000000007</v>
      </c>
      <c r="G300" s="3">
        <v>30</v>
      </c>
      <c r="H300" s="3">
        <v>21</v>
      </c>
      <c r="I300" s="3">
        <v>0</v>
      </c>
      <c r="J300" s="3">
        <v>45</v>
      </c>
      <c r="K300" s="3">
        <v>56</v>
      </c>
      <c r="L300" t="s">
        <v>22</v>
      </c>
      <c r="M300" s="3">
        <v>0</v>
      </c>
      <c r="N300" t="s">
        <v>23</v>
      </c>
      <c r="O300" t="s">
        <v>22</v>
      </c>
      <c r="P300" t="s">
        <v>24</v>
      </c>
      <c r="Q300" t="s">
        <v>22</v>
      </c>
    </row>
    <row r="301" spans="1:17">
      <c r="A301" t="s">
        <v>348</v>
      </c>
      <c r="B301" t="s">
        <v>18</v>
      </c>
      <c r="C301" t="s">
        <v>37</v>
      </c>
      <c r="D301" t="s">
        <v>47</v>
      </c>
      <c r="E301" t="s">
        <v>32</v>
      </c>
      <c r="F301" s="2">
        <v>5351.64</v>
      </c>
      <c r="G301" s="3">
        <v>45</v>
      </c>
      <c r="H301" s="3">
        <v>26</v>
      </c>
      <c r="I301" s="3">
        <v>1</v>
      </c>
      <c r="J301" s="3">
        <v>66</v>
      </c>
      <c r="K301" s="3">
        <v>102</v>
      </c>
      <c r="L301" t="s">
        <v>22</v>
      </c>
      <c r="M301" s="3">
        <v>3</v>
      </c>
      <c r="N301" t="s">
        <v>23</v>
      </c>
      <c r="O301" t="s">
        <v>22</v>
      </c>
      <c r="P301" t="s">
        <v>35</v>
      </c>
      <c r="Q301" t="s">
        <v>23</v>
      </c>
    </row>
    <row r="302" spans="1:17">
      <c r="A302" t="s">
        <v>349</v>
      </c>
      <c r="B302" t="s">
        <v>30</v>
      </c>
      <c r="C302" t="s">
        <v>55</v>
      </c>
      <c r="D302" t="s">
        <v>47</v>
      </c>
      <c r="E302" t="s">
        <v>53</v>
      </c>
      <c r="F302" s="2">
        <v>14629.52</v>
      </c>
      <c r="G302" s="3">
        <v>30</v>
      </c>
      <c r="H302" s="3">
        <v>60</v>
      </c>
      <c r="I302" s="3">
        <v>2</v>
      </c>
      <c r="J302" s="3">
        <v>43</v>
      </c>
      <c r="K302" s="3">
        <v>170</v>
      </c>
      <c r="L302" t="s">
        <v>22</v>
      </c>
      <c r="M302" s="3">
        <v>1</v>
      </c>
      <c r="N302" t="s">
        <v>22</v>
      </c>
      <c r="O302" t="s">
        <v>22</v>
      </c>
      <c r="P302" t="s">
        <v>24</v>
      </c>
      <c r="Q302" t="s">
        <v>23</v>
      </c>
    </row>
    <row r="303" spans="1:17">
      <c r="A303" t="s">
        <v>350</v>
      </c>
      <c r="B303" t="s">
        <v>30</v>
      </c>
      <c r="C303" t="s">
        <v>52</v>
      </c>
      <c r="D303" t="s">
        <v>20</v>
      </c>
      <c r="E303" t="s">
        <v>48</v>
      </c>
      <c r="F303" s="2">
        <v>30701.91</v>
      </c>
      <c r="G303" s="3">
        <v>60</v>
      </c>
      <c r="H303" s="3">
        <v>65</v>
      </c>
      <c r="I303" s="3">
        <v>1</v>
      </c>
      <c r="J303" s="3">
        <v>54</v>
      </c>
      <c r="K303" s="3">
        <v>38</v>
      </c>
      <c r="L303" t="s">
        <v>22</v>
      </c>
      <c r="M303" s="3">
        <v>0</v>
      </c>
      <c r="N303" t="s">
        <v>23</v>
      </c>
      <c r="O303" t="s">
        <v>22</v>
      </c>
      <c r="P303" t="s">
        <v>24</v>
      </c>
      <c r="Q303" t="s">
        <v>22</v>
      </c>
    </row>
    <row r="304" spans="1:17">
      <c r="A304" t="s">
        <v>351</v>
      </c>
      <c r="B304" t="s">
        <v>18</v>
      </c>
      <c r="C304" t="s">
        <v>26</v>
      </c>
      <c r="D304" t="s">
        <v>42</v>
      </c>
      <c r="E304" t="s">
        <v>60</v>
      </c>
      <c r="F304" s="2">
        <v>6806.29</v>
      </c>
      <c r="G304" s="3">
        <v>45</v>
      </c>
      <c r="H304" s="3">
        <v>10</v>
      </c>
      <c r="I304" s="3">
        <v>0</v>
      </c>
      <c r="J304" s="3">
        <v>59</v>
      </c>
      <c r="K304" s="3">
        <v>128</v>
      </c>
      <c r="L304" t="s">
        <v>22</v>
      </c>
      <c r="M304" s="3">
        <v>0</v>
      </c>
      <c r="N304" t="s">
        <v>23</v>
      </c>
      <c r="O304" t="s">
        <v>22</v>
      </c>
      <c r="P304" t="s">
        <v>24</v>
      </c>
      <c r="Q304" t="s">
        <v>22</v>
      </c>
    </row>
    <row r="305" spans="1:17">
      <c r="A305" t="s">
        <v>352</v>
      </c>
      <c r="B305" t="s">
        <v>18</v>
      </c>
      <c r="C305" t="s">
        <v>19</v>
      </c>
      <c r="D305" t="s">
        <v>42</v>
      </c>
      <c r="E305" t="s">
        <v>48</v>
      </c>
      <c r="F305" s="2">
        <v>2688.88</v>
      </c>
      <c r="G305" s="3">
        <v>15</v>
      </c>
      <c r="H305" s="3">
        <v>33</v>
      </c>
      <c r="I305" s="3">
        <v>2</v>
      </c>
      <c r="J305" s="3">
        <v>31</v>
      </c>
      <c r="K305" s="3">
        <v>133</v>
      </c>
      <c r="L305" t="s">
        <v>22</v>
      </c>
      <c r="M305" s="3">
        <v>2</v>
      </c>
      <c r="N305" t="s">
        <v>23</v>
      </c>
      <c r="O305" t="s">
        <v>22</v>
      </c>
      <c r="P305" t="s">
        <v>35</v>
      </c>
      <c r="Q305" t="s">
        <v>23</v>
      </c>
    </row>
    <row r="306" spans="1:17">
      <c r="A306" t="s">
        <v>353</v>
      </c>
      <c r="B306" t="s">
        <v>46</v>
      </c>
      <c r="C306" t="s">
        <v>31</v>
      </c>
      <c r="D306" t="s">
        <v>66</v>
      </c>
      <c r="E306" t="s">
        <v>21</v>
      </c>
      <c r="F306" s="2">
        <v>37180.879999999997</v>
      </c>
      <c r="G306" s="3">
        <v>30</v>
      </c>
      <c r="H306" s="3">
        <v>95</v>
      </c>
      <c r="I306" s="3">
        <v>0</v>
      </c>
      <c r="J306" s="3">
        <v>42</v>
      </c>
      <c r="K306" s="3">
        <v>79</v>
      </c>
      <c r="L306" t="s">
        <v>22</v>
      </c>
      <c r="M306" s="3">
        <v>3</v>
      </c>
      <c r="N306" t="s">
        <v>22</v>
      </c>
      <c r="O306" t="s">
        <v>23</v>
      </c>
      <c r="P306" t="s">
        <v>24</v>
      </c>
      <c r="Q306" t="s">
        <v>22</v>
      </c>
    </row>
    <row r="307" spans="1:17">
      <c r="A307" t="s">
        <v>354</v>
      </c>
      <c r="B307" t="s">
        <v>18</v>
      </c>
      <c r="C307" t="s">
        <v>31</v>
      </c>
      <c r="D307" t="s">
        <v>47</v>
      </c>
      <c r="E307" t="s">
        <v>40</v>
      </c>
      <c r="F307" s="2">
        <v>940.22</v>
      </c>
      <c r="G307" s="3">
        <v>60</v>
      </c>
      <c r="H307" s="3">
        <v>23</v>
      </c>
      <c r="I307" s="3">
        <v>1</v>
      </c>
      <c r="J307" s="3">
        <v>66</v>
      </c>
      <c r="K307" s="3">
        <v>99</v>
      </c>
      <c r="L307" t="s">
        <v>22</v>
      </c>
      <c r="M307" s="3">
        <v>3</v>
      </c>
      <c r="N307" t="s">
        <v>23</v>
      </c>
      <c r="O307" t="s">
        <v>22</v>
      </c>
      <c r="P307" t="s">
        <v>35</v>
      </c>
      <c r="Q307" t="s">
        <v>22</v>
      </c>
    </row>
    <row r="308" spans="1:17">
      <c r="A308" t="s">
        <v>355</v>
      </c>
      <c r="B308" t="s">
        <v>18</v>
      </c>
      <c r="C308" t="s">
        <v>26</v>
      </c>
      <c r="D308" t="s">
        <v>42</v>
      </c>
      <c r="E308" t="s">
        <v>32</v>
      </c>
      <c r="F308" s="2">
        <v>7652.38</v>
      </c>
      <c r="G308" s="3">
        <v>15</v>
      </c>
      <c r="H308" s="3">
        <v>39</v>
      </c>
      <c r="I308" s="3">
        <v>3</v>
      </c>
      <c r="J308" s="3">
        <v>30</v>
      </c>
      <c r="K308" s="3">
        <v>73</v>
      </c>
      <c r="L308" t="s">
        <v>22</v>
      </c>
      <c r="M308" s="3">
        <v>3</v>
      </c>
      <c r="N308" t="s">
        <v>22</v>
      </c>
      <c r="O308" t="s">
        <v>22</v>
      </c>
      <c r="P308" t="s">
        <v>35</v>
      </c>
      <c r="Q308" t="s">
        <v>23</v>
      </c>
    </row>
    <row r="309" spans="1:17">
      <c r="A309" t="s">
        <v>356</v>
      </c>
      <c r="B309" t="s">
        <v>46</v>
      </c>
      <c r="C309" t="s">
        <v>52</v>
      </c>
      <c r="D309" t="s">
        <v>47</v>
      </c>
      <c r="E309" t="s">
        <v>40</v>
      </c>
      <c r="F309" s="2">
        <v>24862.83</v>
      </c>
      <c r="G309" s="3">
        <v>60</v>
      </c>
      <c r="H309" s="3">
        <v>99</v>
      </c>
      <c r="I309" s="3">
        <v>1</v>
      </c>
      <c r="J309" s="3">
        <v>71</v>
      </c>
      <c r="K309" s="3">
        <v>20</v>
      </c>
      <c r="L309" t="s">
        <v>22</v>
      </c>
      <c r="M309" s="3">
        <v>1</v>
      </c>
      <c r="N309" t="s">
        <v>22</v>
      </c>
      <c r="O309" t="s">
        <v>22</v>
      </c>
      <c r="P309" t="s">
        <v>35</v>
      </c>
      <c r="Q309" t="s">
        <v>23</v>
      </c>
    </row>
    <row r="310" spans="1:17">
      <c r="A310" t="s">
        <v>357</v>
      </c>
      <c r="B310" t="s">
        <v>18</v>
      </c>
      <c r="C310" t="s">
        <v>55</v>
      </c>
      <c r="D310" t="s">
        <v>66</v>
      </c>
      <c r="E310" t="s">
        <v>85</v>
      </c>
      <c r="F310" s="2">
        <v>2057.34</v>
      </c>
      <c r="G310" s="3">
        <v>30</v>
      </c>
      <c r="H310" s="3">
        <v>48</v>
      </c>
      <c r="I310" s="3">
        <v>1</v>
      </c>
      <c r="J310" s="3">
        <v>37</v>
      </c>
      <c r="K310" s="3">
        <v>89</v>
      </c>
      <c r="L310" t="s">
        <v>22</v>
      </c>
      <c r="M310" s="3">
        <v>1</v>
      </c>
      <c r="N310" t="s">
        <v>23</v>
      </c>
      <c r="O310" t="s">
        <v>22</v>
      </c>
      <c r="P310" t="s">
        <v>24</v>
      </c>
      <c r="Q310" t="s">
        <v>22</v>
      </c>
    </row>
    <row r="311" spans="1:17">
      <c r="A311" t="s">
        <v>358</v>
      </c>
      <c r="B311" t="s">
        <v>30</v>
      </c>
      <c r="C311" t="s">
        <v>31</v>
      </c>
      <c r="D311" t="s">
        <v>20</v>
      </c>
      <c r="E311" t="s">
        <v>103</v>
      </c>
      <c r="F311" s="2">
        <v>20695.830000000002</v>
      </c>
      <c r="G311" s="3">
        <v>15</v>
      </c>
      <c r="H311" s="3">
        <v>34</v>
      </c>
      <c r="I311" s="3">
        <v>1</v>
      </c>
      <c r="J311" s="3">
        <v>26</v>
      </c>
      <c r="K311" s="3">
        <v>102</v>
      </c>
      <c r="L311" t="s">
        <v>22</v>
      </c>
      <c r="M311" s="3">
        <v>2</v>
      </c>
      <c r="N311" t="s">
        <v>23</v>
      </c>
      <c r="O311" t="s">
        <v>22</v>
      </c>
      <c r="P311" t="s">
        <v>24</v>
      </c>
      <c r="Q311" t="s">
        <v>22</v>
      </c>
    </row>
    <row r="312" spans="1:17">
      <c r="A312" t="s">
        <v>359</v>
      </c>
      <c r="B312" t="s">
        <v>18</v>
      </c>
      <c r="C312" t="s">
        <v>52</v>
      </c>
      <c r="D312" t="s">
        <v>38</v>
      </c>
      <c r="E312" t="s">
        <v>58</v>
      </c>
      <c r="F312" s="2">
        <v>4056.46</v>
      </c>
      <c r="G312" s="3">
        <v>45</v>
      </c>
      <c r="H312" s="3">
        <v>23</v>
      </c>
      <c r="I312" s="3">
        <v>1</v>
      </c>
      <c r="J312" s="3">
        <v>67</v>
      </c>
      <c r="K312" s="3">
        <v>127</v>
      </c>
      <c r="L312" t="s">
        <v>22</v>
      </c>
      <c r="M312" s="3">
        <v>1</v>
      </c>
      <c r="N312" t="s">
        <v>23</v>
      </c>
      <c r="O312" t="s">
        <v>22</v>
      </c>
      <c r="P312" t="s">
        <v>35</v>
      </c>
      <c r="Q312" t="s">
        <v>23</v>
      </c>
    </row>
    <row r="313" spans="1:17">
      <c r="A313" t="s">
        <v>360</v>
      </c>
      <c r="B313" t="s">
        <v>30</v>
      </c>
      <c r="C313" t="s">
        <v>26</v>
      </c>
      <c r="D313" t="s">
        <v>38</v>
      </c>
      <c r="E313" t="s">
        <v>21</v>
      </c>
      <c r="F313" s="2">
        <v>4545.68</v>
      </c>
      <c r="G313" s="3">
        <v>30</v>
      </c>
      <c r="H313" s="3">
        <v>49</v>
      </c>
      <c r="I313" s="3">
        <v>2</v>
      </c>
      <c r="J313" s="3">
        <v>29</v>
      </c>
      <c r="K313" s="3">
        <v>121</v>
      </c>
      <c r="L313" t="s">
        <v>22</v>
      </c>
      <c r="M313" s="3">
        <v>2</v>
      </c>
      <c r="N313" t="s">
        <v>22</v>
      </c>
      <c r="O313" t="s">
        <v>22</v>
      </c>
      <c r="P313" t="s">
        <v>24</v>
      </c>
      <c r="Q313" t="s">
        <v>22</v>
      </c>
    </row>
    <row r="314" spans="1:17">
      <c r="A314" t="s">
        <v>361</v>
      </c>
      <c r="B314" t="s">
        <v>30</v>
      </c>
      <c r="C314" t="s">
        <v>52</v>
      </c>
      <c r="D314" t="s">
        <v>27</v>
      </c>
      <c r="E314" t="s">
        <v>21</v>
      </c>
      <c r="F314" s="2">
        <v>9028.02</v>
      </c>
      <c r="G314" s="3">
        <v>30</v>
      </c>
      <c r="H314" s="3">
        <v>14</v>
      </c>
      <c r="I314" s="3">
        <v>0</v>
      </c>
      <c r="J314" s="3">
        <v>49</v>
      </c>
      <c r="K314" s="3">
        <v>67</v>
      </c>
      <c r="L314" t="s">
        <v>22</v>
      </c>
      <c r="M314" s="3">
        <v>1</v>
      </c>
      <c r="N314" t="s">
        <v>23</v>
      </c>
      <c r="O314" t="s">
        <v>22</v>
      </c>
      <c r="P314" t="s">
        <v>24</v>
      </c>
      <c r="Q314" t="s">
        <v>22</v>
      </c>
    </row>
    <row r="315" spans="1:17">
      <c r="A315" t="s">
        <v>362</v>
      </c>
      <c r="B315" t="s">
        <v>30</v>
      </c>
      <c r="C315" t="s">
        <v>19</v>
      </c>
      <c r="D315" t="s">
        <v>27</v>
      </c>
      <c r="E315" t="s">
        <v>21</v>
      </c>
      <c r="F315" s="2">
        <v>24172.79</v>
      </c>
      <c r="G315" s="3">
        <v>30</v>
      </c>
      <c r="H315" s="3">
        <v>82</v>
      </c>
      <c r="I315" s="3">
        <v>0</v>
      </c>
      <c r="J315" s="3">
        <v>29</v>
      </c>
      <c r="K315" s="3">
        <v>22</v>
      </c>
      <c r="L315" t="s">
        <v>22</v>
      </c>
      <c r="M315" s="3">
        <v>0</v>
      </c>
      <c r="N315" t="s">
        <v>22</v>
      </c>
      <c r="O315" t="s">
        <v>22</v>
      </c>
      <c r="P315" t="s">
        <v>24</v>
      </c>
      <c r="Q315" t="s">
        <v>22</v>
      </c>
    </row>
    <row r="316" spans="1:17">
      <c r="A316" t="s">
        <v>363</v>
      </c>
      <c r="B316" t="s">
        <v>18</v>
      </c>
      <c r="C316" t="s">
        <v>19</v>
      </c>
      <c r="D316" t="s">
        <v>27</v>
      </c>
      <c r="E316" t="s">
        <v>43</v>
      </c>
      <c r="F316" s="2">
        <v>6151.04</v>
      </c>
      <c r="G316" s="3">
        <v>30</v>
      </c>
      <c r="H316" s="3">
        <v>38</v>
      </c>
      <c r="I316" s="3">
        <v>0</v>
      </c>
      <c r="J316" s="3">
        <v>36</v>
      </c>
      <c r="K316" s="3">
        <v>57</v>
      </c>
      <c r="L316" t="s">
        <v>22</v>
      </c>
      <c r="M316" s="3">
        <v>0</v>
      </c>
      <c r="N316" t="s">
        <v>23</v>
      </c>
      <c r="O316" t="s">
        <v>22</v>
      </c>
      <c r="P316" t="s">
        <v>24</v>
      </c>
      <c r="Q316" t="s">
        <v>23</v>
      </c>
    </row>
    <row r="317" spans="1:17">
      <c r="A317" t="s">
        <v>364</v>
      </c>
      <c r="B317" t="s">
        <v>18</v>
      </c>
      <c r="C317" t="s">
        <v>19</v>
      </c>
      <c r="D317" t="s">
        <v>38</v>
      </c>
      <c r="E317" t="s">
        <v>43</v>
      </c>
      <c r="F317" s="2">
        <v>5216.71</v>
      </c>
      <c r="G317" s="3">
        <v>60</v>
      </c>
      <c r="H317" s="3">
        <v>9</v>
      </c>
      <c r="I317" s="3">
        <v>0</v>
      </c>
      <c r="J317" s="3">
        <v>57</v>
      </c>
      <c r="K317" s="3">
        <v>32</v>
      </c>
      <c r="L317" t="s">
        <v>22</v>
      </c>
      <c r="M317" s="3">
        <v>0</v>
      </c>
      <c r="N317" t="s">
        <v>23</v>
      </c>
      <c r="O317" t="s">
        <v>22</v>
      </c>
      <c r="P317" t="s">
        <v>24</v>
      </c>
      <c r="Q317" t="s">
        <v>22</v>
      </c>
    </row>
    <row r="318" spans="1:17">
      <c r="A318" t="s">
        <v>365</v>
      </c>
      <c r="B318" t="s">
        <v>18</v>
      </c>
      <c r="C318" t="s">
        <v>31</v>
      </c>
      <c r="D318" t="s">
        <v>42</v>
      </c>
      <c r="E318" t="s">
        <v>60</v>
      </c>
      <c r="F318" s="2">
        <v>5173.7</v>
      </c>
      <c r="G318" s="3">
        <v>30</v>
      </c>
      <c r="H318" s="3">
        <v>18</v>
      </c>
      <c r="I318" s="3">
        <v>0</v>
      </c>
      <c r="J318" s="3">
        <v>30</v>
      </c>
      <c r="K318" s="3">
        <v>30</v>
      </c>
      <c r="L318" t="s">
        <v>22</v>
      </c>
      <c r="M318" s="3">
        <v>1</v>
      </c>
      <c r="N318" t="s">
        <v>22</v>
      </c>
      <c r="O318" t="s">
        <v>22</v>
      </c>
      <c r="P318" t="s">
        <v>28</v>
      </c>
      <c r="Q318" t="s">
        <v>23</v>
      </c>
    </row>
    <row r="319" spans="1:17">
      <c r="A319" t="s">
        <v>366</v>
      </c>
      <c r="B319" t="s">
        <v>46</v>
      </c>
      <c r="C319" t="s">
        <v>26</v>
      </c>
      <c r="D319" t="s">
        <v>66</v>
      </c>
      <c r="E319" t="s">
        <v>50</v>
      </c>
      <c r="F319" s="2">
        <v>80833.37</v>
      </c>
      <c r="G319" s="3">
        <v>45</v>
      </c>
      <c r="H319" s="3">
        <v>99</v>
      </c>
      <c r="I319" s="3">
        <v>0</v>
      </c>
      <c r="J319" s="3">
        <v>57</v>
      </c>
      <c r="K319" s="3">
        <v>149</v>
      </c>
      <c r="L319" t="s">
        <v>22</v>
      </c>
      <c r="M319" s="3">
        <v>1</v>
      </c>
      <c r="N319" t="s">
        <v>23</v>
      </c>
      <c r="O319" t="s">
        <v>22</v>
      </c>
      <c r="P319" t="s">
        <v>24</v>
      </c>
      <c r="Q319" t="s">
        <v>23</v>
      </c>
    </row>
    <row r="320" spans="1:17">
      <c r="A320" t="s">
        <v>367</v>
      </c>
      <c r="B320" t="s">
        <v>46</v>
      </c>
      <c r="C320" t="s">
        <v>19</v>
      </c>
      <c r="D320" t="s">
        <v>47</v>
      </c>
      <c r="E320" t="s">
        <v>53</v>
      </c>
      <c r="F320" s="2">
        <v>80247.199999999997</v>
      </c>
      <c r="G320" s="3">
        <v>30</v>
      </c>
      <c r="H320" s="3">
        <v>72</v>
      </c>
      <c r="I320" s="3">
        <v>1</v>
      </c>
      <c r="J320" s="3">
        <v>44</v>
      </c>
      <c r="K320" s="3">
        <v>98</v>
      </c>
      <c r="L320" t="s">
        <v>22</v>
      </c>
      <c r="M320" s="3">
        <v>2</v>
      </c>
      <c r="N320" t="s">
        <v>23</v>
      </c>
      <c r="O320" t="s">
        <v>22</v>
      </c>
      <c r="P320" t="s">
        <v>35</v>
      </c>
      <c r="Q320" t="s">
        <v>23</v>
      </c>
    </row>
    <row r="321" spans="1:17">
      <c r="A321" t="s">
        <v>368</v>
      </c>
      <c r="B321" t="s">
        <v>18</v>
      </c>
      <c r="C321" t="s">
        <v>37</v>
      </c>
      <c r="D321" t="s">
        <v>47</v>
      </c>
      <c r="E321" t="s">
        <v>48</v>
      </c>
      <c r="F321" s="2">
        <v>3630.29</v>
      </c>
      <c r="G321" s="3">
        <v>30</v>
      </c>
      <c r="H321" s="3">
        <v>27</v>
      </c>
      <c r="I321" s="3">
        <v>1</v>
      </c>
      <c r="J321" s="3">
        <v>41</v>
      </c>
      <c r="K321" s="3">
        <v>100</v>
      </c>
      <c r="L321" t="s">
        <v>22</v>
      </c>
      <c r="M321" s="3">
        <v>1</v>
      </c>
      <c r="N321" t="s">
        <v>23</v>
      </c>
      <c r="O321" t="s">
        <v>23</v>
      </c>
      <c r="P321" t="s">
        <v>28</v>
      </c>
      <c r="Q321" t="s">
        <v>22</v>
      </c>
    </row>
    <row r="322" spans="1:17">
      <c r="A322" t="s">
        <v>369</v>
      </c>
      <c r="B322" t="s">
        <v>18</v>
      </c>
      <c r="C322" t="s">
        <v>31</v>
      </c>
      <c r="D322" t="s">
        <v>38</v>
      </c>
      <c r="E322" t="s">
        <v>58</v>
      </c>
      <c r="F322" s="2">
        <v>6784.94</v>
      </c>
      <c r="G322" s="3">
        <v>30</v>
      </c>
      <c r="H322" s="3">
        <v>12</v>
      </c>
      <c r="I322" s="3">
        <v>1</v>
      </c>
      <c r="J322" s="3">
        <v>46</v>
      </c>
      <c r="K322" s="3">
        <v>101</v>
      </c>
      <c r="L322" t="s">
        <v>23</v>
      </c>
      <c r="M322" s="3">
        <v>2</v>
      </c>
      <c r="N322" t="s">
        <v>23</v>
      </c>
      <c r="O322" t="s">
        <v>22</v>
      </c>
      <c r="P322" t="s">
        <v>28</v>
      </c>
      <c r="Q322" t="s">
        <v>23</v>
      </c>
    </row>
    <row r="323" spans="1:17">
      <c r="A323" t="s">
        <v>370</v>
      </c>
      <c r="B323" t="s">
        <v>46</v>
      </c>
      <c r="C323" t="s">
        <v>52</v>
      </c>
      <c r="D323" t="s">
        <v>38</v>
      </c>
      <c r="E323" t="s">
        <v>21</v>
      </c>
      <c r="F323" s="2">
        <v>42914.67</v>
      </c>
      <c r="G323" s="3">
        <v>30</v>
      </c>
      <c r="H323" s="3">
        <v>91</v>
      </c>
      <c r="I323" s="3">
        <v>4</v>
      </c>
      <c r="J323" s="3">
        <v>44</v>
      </c>
      <c r="K323" s="3">
        <v>51</v>
      </c>
      <c r="L323" t="s">
        <v>22</v>
      </c>
      <c r="M323" s="3">
        <v>5</v>
      </c>
      <c r="N323" t="s">
        <v>23</v>
      </c>
      <c r="O323" t="s">
        <v>22</v>
      </c>
      <c r="P323" t="s">
        <v>35</v>
      </c>
      <c r="Q323" t="s">
        <v>23</v>
      </c>
    </row>
    <row r="324" spans="1:17">
      <c r="A324" t="s">
        <v>371</v>
      </c>
      <c r="B324" t="s">
        <v>30</v>
      </c>
      <c r="C324" t="s">
        <v>52</v>
      </c>
      <c r="D324" t="s">
        <v>20</v>
      </c>
      <c r="E324" t="s">
        <v>43</v>
      </c>
      <c r="F324" s="2">
        <v>9942.06</v>
      </c>
      <c r="G324" s="3">
        <v>30</v>
      </c>
      <c r="H324" s="3">
        <v>39</v>
      </c>
      <c r="I324" s="3">
        <v>0</v>
      </c>
      <c r="J324" s="3">
        <v>40</v>
      </c>
      <c r="K324" s="3">
        <v>112</v>
      </c>
      <c r="L324" t="s">
        <v>22</v>
      </c>
      <c r="M324" s="3">
        <v>0</v>
      </c>
      <c r="N324" t="s">
        <v>22</v>
      </c>
      <c r="O324" t="s">
        <v>23</v>
      </c>
      <c r="P324" t="s">
        <v>35</v>
      </c>
      <c r="Q324" t="s">
        <v>22</v>
      </c>
    </row>
    <row r="325" spans="1:17">
      <c r="A325" t="s">
        <v>372</v>
      </c>
      <c r="B325" t="s">
        <v>30</v>
      </c>
      <c r="C325" t="s">
        <v>55</v>
      </c>
      <c r="D325" t="s">
        <v>66</v>
      </c>
      <c r="E325" t="s">
        <v>34</v>
      </c>
      <c r="F325" s="2">
        <v>6951.45</v>
      </c>
      <c r="G325" s="3">
        <v>15</v>
      </c>
      <c r="H325" s="3">
        <v>36</v>
      </c>
      <c r="I325" s="3">
        <v>0</v>
      </c>
      <c r="J325" s="3">
        <v>14</v>
      </c>
      <c r="K325" s="3">
        <v>7</v>
      </c>
      <c r="L325" t="s">
        <v>22</v>
      </c>
      <c r="M325" s="3">
        <v>2</v>
      </c>
      <c r="N325" t="s">
        <v>23</v>
      </c>
      <c r="O325" t="s">
        <v>23</v>
      </c>
      <c r="P325" t="s">
        <v>35</v>
      </c>
      <c r="Q325" t="s">
        <v>22</v>
      </c>
    </row>
    <row r="326" spans="1:17">
      <c r="A326" t="s">
        <v>373</v>
      </c>
      <c r="B326" t="s">
        <v>18</v>
      </c>
      <c r="C326" t="s">
        <v>31</v>
      </c>
      <c r="D326" t="s">
        <v>27</v>
      </c>
      <c r="E326" t="s">
        <v>50</v>
      </c>
      <c r="F326" s="2">
        <v>3823.99</v>
      </c>
      <c r="G326" s="3">
        <v>30</v>
      </c>
      <c r="H326" s="3">
        <v>19</v>
      </c>
      <c r="I326" s="3">
        <v>3</v>
      </c>
      <c r="J326" s="3">
        <v>35</v>
      </c>
      <c r="K326" s="3">
        <v>152</v>
      </c>
      <c r="L326" t="s">
        <v>22</v>
      </c>
      <c r="M326" s="3">
        <v>2</v>
      </c>
      <c r="N326" t="s">
        <v>22</v>
      </c>
      <c r="O326" t="s">
        <v>22</v>
      </c>
      <c r="P326" t="s">
        <v>24</v>
      </c>
      <c r="Q326" t="s">
        <v>23</v>
      </c>
    </row>
    <row r="327" spans="1:17">
      <c r="A327" t="s">
        <v>374</v>
      </c>
      <c r="B327" t="s">
        <v>30</v>
      </c>
      <c r="C327" t="s">
        <v>55</v>
      </c>
      <c r="D327" t="s">
        <v>66</v>
      </c>
      <c r="E327" t="s">
        <v>60</v>
      </c>
      <c r="F327" s="2">
        <v>24048.52</v>
      </c>
      <c r="G327" s="3">
        <v>30</v>
      </c>
      <c r="H327" s="3">
        <v>77</v>
      </c>
      <c r="I327" s="3">
        <v>0</v>
      </c>
      <c r="J327" s="3">
        <v>44</v>
      </c>
      <c r="K327" s="3">
        <v>151</v>
      </c>
      <c r="L327" t="s">
        <v>22</v>
      </c>
      <c r="M327" s="3">
        <v>1</v>
      </c>
      <c r="N327" t="s">
        <v>22</v>
      </c>
      <c r="O327" t="s">
        <v>23</v>
      </c>
      <c r="P327" t="s">
        <v>28</v>
      </c>
      <c r="Q327" t="s">
        <v>22</v>
      </c>
    </row>
    <row r="328" spans="1:17">
      <c r="A328" t="s">
        <v>375</v>
      </c>
      <c r="B328" t="s">
        <v>18</v>
      </c>
      <c r="C328" t="s">
        <v>55</v>
      </c>
      <c r="D328" t="s">
        <v>47</v>
      </c>
      <c r="E328" t="s">
        <v>40</v>
      </c>
      <c r="F328" s="2">
        <v>4276.41</v>
      </c>
      <c r="G328" s="3">
        <v>15</v>
      </c>
      <c r="H328" s="3">
        <v>8</v>
      </c>
      <c r="I328" s="3">
        <v>0</v>
      </c>
      <c r="J328" s="3">
        <v>20</v>
      </c>
      <c r="K328" s="3">
        <v>83</v>
      </c>
      <c r="L328" t="s">
        <v>22</v>
      </c>
      <c r="M328" s="3">
        <v>0</v>
      </c>
      <c r="N328" t="s">
        <v>23</v>
      </c>
      <c r="O328" t="s">
        <v>22</v>
      </c>
      <c r="P328" t="s">
        <v>28</v>
      </c>
      <c r="Q328" t="s">
        <v>22</v>
      </c>
    </row>
    <row r="329" spans="1:17">
      <c r="A329" t="s">
        <v>376</v>
      </c>
      <c r="B329" t="s">
        <v>18</v>
      </c>
      <c r="C329" t="s">
        <v>52</v>
      </c>
      <c r="D329" t="s">
        <v>42</v>
      </c>
      <c r="E329" t="s">
        <v>85</v>
      </c>
      <c r="F329" s="2">
        <v>3467.09</v>
      </c>
      <c r="G329" s="3">
        <v>45</v>
      </c>
      <c r="H329" s="3">
        <v>47</v>
      </c>
      <c r="I329" s="3">
        <v>2</v>
      </c>
      <c r="J329" s="3">
        <v>62</v>
      </c>
      <c r="K329" s="3">
        <v>145</v>
      </c>
      <c r="L329" t="s">
        <v>22</v>
      </c>
      <c r="M329" s="3">
        <v>3</v>
      </c>
      <c r="N329" t="s">
        <v>23</v>
      </c>
      <c r="O329" t="s">
        <v>22</v>
      </c>
      <c r="P329" t="s">
        <v>24</v>
      </c>
      <c r="Q329" t="s">
        <v>23</v>
      </c>
    </row>
    <row r="330" spans="1:17">
      <c r="A330" t="s">
        <v>377</v>
      </c>
      <c r="B330" t="s">
        <v>46</v>
      </c>
      <c r="C330" t="s">
        <v>37</v>
      </c>
      <c r="D330" t="s">
        <v>42</v>
      </c>
      <c r="E330" t="s">
        <v>103</v>
      </c>
      <c r="F330" s="2">
        <v>19106.96</v>
      </c>
      <c r="G330" s="3">
        <v>30</v>
      </c>
      <c r="H330" s="3">
        <v>52</v>
      </c>
      <c r="I330" s="3">
        <v>0</v>
      </c>
      <c r="J330" s="3">
        <v>36</v>
      </c>
      <c r="K330" s="3">
        <v>115</v>
      </c>
      <c r="L330" t="s">
        <v>22</v>
      </c>
      <c r="M330" s="3">
        <v>0</v>
      </c>
      <c r="N330" t="s">
        <v>22</v>
      </c>
      <c r="O330" t="s">
        <v>22</v>
      </c>
      <c r="P330" t="s">
        <v>24</v>
      </c>
      <c r="Q330" t="s">
        <v>22</v>
      </c>
    </row>
    <row r="331" spans="1:17">
      <c r="A331" t="s">
        <v>378</v>
      </c>
      <c r="B331" t="s">
        <v>18</v>
      </c>
      <c r="C331" t="s">
        <v>37</v>
      </c>
      <c r="D331" t="s">
        <v>47</v>
      </c>
      <c r="E331" t="s">
        <v>53</v>
      </c>
      <c r="F331" s="2">
        <v>3418.97</v>
      </c>
      <c r="G331" s="3">
        <v>30</v>
      </c>
      <c r="H331" s="3">
        <v>3</v>
      </c>
      <c r="I331" s="3">
        <v>2</v>
      </c>
      <c r="J331" s="3">
        <v>51</v>
      </c>
      <c r="K331" s="3">
        <v>152</v>
      </c>
      <c r="L331" t="s">
        <v>22</v>
      </c>
      <c r="M331" s="3">
        <v>3</v>
      </c>
      <c r="N331" t="s">
        <v>23</v>
      </c>
      <c r="O331" t="s">
        <v>22</v>
      </c>
      <c r="P331" t="s">
        <v>24</v>
      </c>
      <c r="Q331" t="s">
        <v>23</v>
      </c>
    </row>
    <row r="332" spans="1:17">
      <c r="A332" t="s">
        <v>379</v>
      </c>
      <c r="B332" t="s">
        <v>18</v>
      </c>
      <c r="C332" t="s">
        <v>55</v>
      </c>
      <c r="D332" t="s">
        <v>38</v>
      </c>
      <c r="E332" t="s">
        <v>50</v>
      </c>
      <c r="F332" s="2">
        <v>4555.9399999999996</v>
      </c>
      <c r="G332" s="3">
        <v>45</v>
      </c>
      <c r="H332" s="3">
        <v>30</v>
      </c>
      <c r="I332" s="3">
        <v>3</v>
      </c>
      <c r="J332" s="3">
        <v>66</v>
      </c>
      <c r="K332" s="3">
        <v>95</v>
      </c>
      <c r="L332" t="s">
        <v>22</v>
      </c>
      <c r="M332" s="3">
        <v>3</v>
      </c>
      <c r="N332" t="s">
        <v>22</v>
      </c>
      <c r="O332" t="s">
        <v>22</v>
      </c>
      <c r="P332" t="s">
        <v>28</v>
      </c>
      <c r="Q332" t="s">
        <v>23</v>
      </c>
    </row>
    <row r="333" spans="1:17">
      <c r="A333" t="s">
        <v>380</v>
      </c>
      <c r="B333" t="s">
        <v>18</v>
      </c>
      <c r="C333" t="s">
        <v>19</v>
      </c>
      <c r="D333" t="s">
        <v>47</v>
      </c>
      <c r="E333" t="s">
        <v>85</v>
      </c>
      <c r="F333" s="2">
        <v>2047.22</v>
      </c>
      <c r="G333" s="3">
        <v>30</v>
      </c>
      <c r="H333" s="3">
        <v>45</v>
      </c>
      <c r="I333" s="3">
        <v>1</v>
      </c>
      <c r="J333" s="3">
        <v>44</v>
      </c>
      <c r="K333" s="3">
        <v>3</v>
      </c>
      <c r="L333" t="s">
        <v>22</v>
      </c>
      <c r="M333" s="3">
        <v>0</v>
      </c>
      <c r="N333" t="s">
        <v>22</v>
      </c>
      <c r="O333" t="s">
        <v>22</v>
      </c>
      <c r="P333" t="s">
        <v>24</v>
      </c>
      <c r="Q333" t="s">
        <v>22</v>
      </c>
    </row>
    <row r="334" spans="1:17">
      <c r="A334" t="s">
        <v>381</v>
      </c>
      <c r="B334" t="s">
        <v>18</v>
      </c>
      <c r="C334" t="s">
        <v>55</v>
      </c>
      <c r="D334" t="s">
        <v>47</v>
      </c>
      <c r="E334" t="s">
        <v>34</v>
      </c>
      <c r="F334" s="2">
        <v>5504.04</v>
      </c>
      <c r="G334" s="3">
        <v>30</v>
      </c>
      <c r="H334" s="3">
        <v>40</v>
      </c>
      <c r="I334" s="3">
        <v>0</v>
      </c>
      <c r="J334" s="3">
        <v>25</v>
      </c>
      <c r="K334" s="3">
        <v>29</v>
      </c>
      <c r="L334" t="s">
        <v>22</v>
      </c>
      <c r="M334" s="3">
        <v>1</v>
      </c>
      <c r="N334" t="s">
        <v>22</v>
      </c>
      <c r="O334" t="s">
        <v>22</v>
      </c>
      <c r="P334" t="s">
        <v>28</v>
      </c>
      <c r="Q334" t="s">
        <v>22</v>
      </c>
    </row>
    <row r="335" spans="1:17">
      <c r="A335" t="s">
        <v>382</v>
      </c>
      <c r="B335" t="s">
        <v>18</v>
      </c>
      <c r="C335" t="s">
        <v>52</v>
      </c>
      <c r="D335" t="s">
        <v>38</v>
      </c>
      <c r="E335" t="s">
        <v>50</v>
      </c>
      <c r="F335" s="2">
        <v>6623.72</v>
      </c>
      <c r="G335" s="3">
        <v>30</v>
      </c>
      <c r="H335" s="3">
        <v>16</v>
      </c>
      <c r="I335" s="3">
        <v>2</v>
      </c>
      <c r="J335" s="3">
        <v>30</v>
      </c>
      <c r="K335" s="3">
        <v>25</v>
      </c>
      <c r="L335" t="s">
        <v>22</v>
      </c>
      <c r="M335" s="3">
        <v>0</v>
      </c>
      <c r="N335" t="s">
        <v>23</v>
      </c>
      <c r="O335" t="s">
        <v>22</v>
      </c>
      <c r="P335" t="s">
        <v>24</v>
      </c>
      <c r="Q335" t="s">
        <v>22</v>
      </c>
    </row>
    <row r="336" spans="1:17">
      <c r="A336" t="s">
        <v>383</v>
      </c>
      <c r="B336" t="s">
        <v>18</v>
      </c>
      <c r="C336" t="s">
        <v>55</v>
      </c>
      <c r="D336" t="s">
        <v>38</v>
      </c>
      <c r="E336" t="s">
        <v>53</v>
      </c>
      <c r="F336" s="2">
        <v>678.53</v>
      </c>
      <c r="G336" s="3">
        <v>60</v>
      </c>
      <c r="H336" s="3">
        <v>19</v>
      </c>
      <c r="I336" s="3">
        <v>0</v>
      </c>
      <c r="J336" s="3">
        <v>64</v>
      </c>
      <c r="K336" s="3">
        <v>129</v>
      </c>
      <c r="L336" t="s">
        <v>22</v>
      </c>
      <c r="M336" s="3">
        <v>0</v>
      </c>
      <c r="N336" t="s">
        <v>23</v>
      </c>
      <c r="O336" t="s">
        <v>22</v>
      </c>
      <c r="P336" t="s">
        <v>28</v>
      </c>
      <c r="Q336" t="s">
        <v>22</v>
      </c>
    </row>
    <row r="337" spans="1:17">
      <c r="A337" t="s">
        <v>384</v>
      </c>
      <c r="B337" t="s">
        <v>30</v>
      </c>
      <c r="C337" t="s">
        <v>52</v>
      </c>
      <c r="D337" t="s">
        <v>38</v>
      </c>
      <c r="E337" t="s">
        <v>21</v>
      </c>
      <c r="F337" s="2">
        <v>12184.76</v>
      </c>
      <c r="G337" s="3">
        <v>60</v>
      </c>
      <c r="H337" s="3">
        <v>69</v>
      </c>
      <c r="I337" s="3">
        <v>0</v>
      </c>
      <c r="J337" s="3">
        <v>70</v>
      </c>
      <c r="K337" s="3">
        <v>122</v>
      </c>
      <c r="L337" t="s">
        <v>22</v>
      </c>
      <c r="M337" s="3">
        <v>0</v>
      </c>
      <c r="N337" t="s">
        <v>23</v>
      </c>
      <c r="O337" t="s">
        <v>23</v>
      </c>
      <c r="P337" t="s">
        <v>35</v>
      </c>
      <c r="Q337" t="s">
        <v>22</v>
      </c>
    </row>
    <row r="338" spans="1:17">
      <c r="A338" t="s">
        <v>385</v>
      </c>
      <c r="B338" t="s">
        <v>30</v>
      </c>
      <c r="C338" t="s">
        <v>26</v>
      </c>
      <c r="D338" t="s">
        <v>20</v>
      </c>
      <c r="E338" t="s">
        <v>103</v>
      </c>
      <c r="F338" s="2">
        <v>8003.85</v>
      </c>
      <c r="G338" s="3">
        <v>30</v>
      </c>
      <c r="H338" s="3">
        <v>24</v>
      </c>
      <c r="I338" s="3">
        <v>2</v>
      </c>
      <c r="J338" s="3">
        <v>35</v>
      </c>
      <c r="K338" s="3">
        <v>49</v>
      </c>
      <c r="L338" t="s">
        <v>22</v>
      </c>
      <c r="M338" s="3">
        <v>3</v>
      </c>
      <c r="N338" t="s">
        <v>23</v>
      </c>
      <c r="O338" t="s">
        <v>23</v>
      </c>
      <c r="P338" t="s">
        <v>24</v>
      </c>
      <c r="Q338" t="s">
        <v>22</v>
      </c>
    </row>
    <row r="339" spans="1:17">
      <c r="A339" t="s">
        <v>386</v>
      </c>
      <c r="B339" t="s">
        <v>30</v>
      </c>
      <c r="C339" t="s">
        <v>55</v>
      </c>
      <c r="D339" t="s">
        <v>47</v>
      </c>
      <c r="E339" t="s">
        <v>34</v>
      </c>
      <c r="F339" s="2">
        <v>21385.22</v>
      </c>
      <c r="G339" s="3">
        <v>30</v>
      </c>
      <c r="H339" s="3">
        <v>53</v>
      </c>
      <c r="I339" s="3">
        <v>0</v>
      </c>
      <c r="J339" s="3">
        <v>38</v>
      </c>
      <c r="K339" s="3">
        <v>73</v>
      </c>
      <c r="L339" t="s">
        <v>22</v>
      </c>
      <c r="M339" s="3">
        <v>1</v>
      </c>
      <c r="N339" t="s">
        <v>23</v>
      </c>
      <c r="O339" t="s">
        <v>22</v>
      </c>
      <c r="P339" t="s">
        <v>28</v>
      </c>
      <c r="Q339" t="s">
        <v>22</v>
      </c>
    </row>
    <row r="340" spans="1:17">
      <c r="A340" t="s">
        <v>387</v>
      </c>
      <c r="B340" t="s">
        <v>30</v>
      </c>
      <c r="C340" t="s">
        <v>55</v>
      </c>
      <c r="D340" t="s">
        <v>66</v>
      </c>
      <c r="E340" t="s">
        <v>60</v>
      </c>
      <c r="F340" s="2">
        <v>25493.17</v>
      </c>
      <c r="G340" s="3">
        <v>60</v>
      </c>
      <c r="H340" s="3">
        <v>54</v>
      </c>
      <c r="I340" s="3">
        <v>0</v>
      </c>
      <c r="J340" s="3">
        <v>73</v>
      </c>
      <c r="K340" s="3">
        <v>4</v>
      </c>
      <c r="L340" t="s">
        <v>22</v>
      </c>
      <c r="M340" s="3">
        <v>1</v>
      </c>
      <c r="N340" t="s">
        <v>22</v>
      </c>
      <c r="O340" t="s">
        <v>22</v>
      </c>
      <c r="P340" t="s">
        <v>24</v>
      </c>
      <c r="Q340" t="s">
        <v>22</v>
      </c>
    </row>
    <row r="341" spans="1:17">
      <c r="A341" t="s">
        <v>388</v>
      </c>
      <c r="B341" t="s">
        <v>18</v>
      </c>
      <c r="C341" t="s">
        <v>37</v>
      </c>
      <c r="D341" t="s">
        <v>42</v>
      </c>
      <c r="E341" t="s">
        <v>103</v>
      </c>
      <c r="F341" s="2">
        <v>6805.08</v>
      </c>
      <c r="G341" s="3">
        <v>60</v>
      </c>
      <c r="H341" s="3">
        <v>14</v>
      </c>
      <c r="I341" s="3">
        <v>2</v>
      </c>
      <c r="J341" s="3">
        <v>71</v>
      </c>
      <c r="K341" s="3">
        <v>107</v>
      </c>
      <c r="L341" t="s">
        <v>22</v>
      </c>
      <c r="M341" s="3">
        <v>2</v>
      </c>
      <c r="N341" t="s">
        <v>23</v>
      </c>
      <c r="O341" t="s">
        <v>22</v>
      </c>
      <c r="P341" t="s">
        <v>28</v>
      </c>
      <c r="Q341" t="s">
        <v>22</v>
      </c>
    </row>
    <row r="342" spans="1:17">
      <c r="A342" t="s">
        <v>389</v>
      </c>
      <c r="B342" t="s">
        <v>30</v>
      </c>
      <c r="C342" t="s">
        <v>26</v>
      </c>
      <c r="D342" t="s">
        <v>66</v>
      </c>
      <c r="E342" t="s">
        <v>32</v>
      </c>
      <c r="F342" s="2">
        <v>21076.51</v>
      </c>
      <c r="G342" s="3">
        <v>45</v>
      </c>
      <c r="H342" s="3">
        <v>78</v>
      </c>
      <c r="I342" s="3">
        <v>0</v>
      </c>
      <c r="J342" s="3">
        <v>55</v>
      </c>
      <c r="K342" s="3">
        <v>88</v>
      </c>
      <c r="L342" t="s">
        <v>22</v>
      </c>
      <c r="M342" s="3">
        <v>1</v>
      </c>
      <c r="N342" t="s">
        <v>23</v>
      </c>
      <c r="O342" t="s">
        <v>23</v>
      </c>
      <c r="P342" t="s">
        <v>24</v>
      </c>
      <c r="Q342" t="s">
        <v>22</v>
      </c>
    </row>
    <row r="343" spans="1:17">
      <c r="A343" t="s">
        <v>390</v>
      </c>
      <c r="B343" t="s">
        <v>30</v>
      </c>
      <c r="C343" t="s">
        <v>19</v>
      </c>
      <c r="D343" t="s">
        <v>38</v>
      </c>
      <c r="E343" t="s">
        <v>48</v>
      </c>
      <c r="F343" s="2">
        <v>17418.59</v>
      </c>
      <c r="G343" s="3">
        <v>30</v>
      </c>
      <c r="H343" s="3">
        <v>79</v>
      </c>
      <c r="I343" s="3">
        <v>0</v>
      </c>
      <c r="J343" s="3">
        <v>25</v>
      </c>
      <c r="K343" s="3">
        <v>135</v>
      </c>
      <c r="L343" t="s">
        <v>22</v>
      </c>
      <c r="M343" s="3">
        <v>0</v>
      </c>
      <c r="N343" t="s">
        <v>23</v>
      </c>
      <c r="O343" t="s">
        <v>22</v>
      </c>
      <c r="P343" t="s">
        <v>28</v>
      </c>
      <c r="Q343" t="s">
        <v>22</v>
      </c>
    </row>
    <row r="344" spans="1:17">
      <c r="A344" t="s">
        <v>391</v>
      </c>
      <c r="B344" t="s">
        <v>18</v>
      </c>
      <c r="C344" t="s">
        <v>52</v>
      </c>
      <c r="D344" t="s">
        <v>27</v>
      </c>
      <c r="E344" t="s">
        <v>50</v>
      </c>
      <c r="F344" s="2">
        <v>6511.06</v>
      </c>
      <c r="G344" s="3">
        <v>45</v>
      </c>
      <c r="H344" s="3">
        <v>24</v>
      </c>
      <c r="I344" s="3">
        <v>0</v>
      </c>
      <c r="J344" s="3">
        <v>29</v>
      </c>
      <c r="K344" s="3">
        <v>150</v>
      </c>
      <c r="L344" t="s">
        <v>22</v>
      </c>
      <c r="M344" s="3">
        <v>2</v>
      </c>
      <c r="N344" t="s">
        <v>22</v>
      </c>
      <c r="O344" t="s">
        <v>23</v>
      </c>
      <c r="P344" t="s">
        <v>35</v>
      </c>
      <c r="Q344" t="s">
        <v>23</v>
      </c>
    </row>
    <row r="345" spans="1:17">
      <c r="A345" t="s">
        <v>392</v>
      </c>
      <c r="B345" t="s">
        <v>18</v>
      </c>
      <c r="C345" t="s">
        <v>52</v>
      </c>
      <c r="D345" t="s">
        <v>27</v>
      </c>
      <c r="E345" t="s">
        <v>85</v>
      </c>
      <c r="F345" s="2">
        <v>5472.77</v>
      </c>
      <c r="G345" s="3">
        <v>30</v>
      </c>
      <c r="H345" s="3">
        <v>5</v>
      </c>
      <c r="I345" s="3">
        <v>1</v>
      </c>
      <c r="J345" s="3">
        <v>42</v>
      </c>
      <c r="K345" s="3">
        <v>173</v>
      </c>
      <c r="L345" t="s">
        <v>22</v>
      </c>
      <c r="M345" s="3">
        <v>1</v>
      </c>
      <c r="N345" t="s">
        <v>23</v>
      </c>
      <c r="O345" t="s">
        <v>22</v>
      </c>
      <c r="P345" t="s">
        <v>28</v>
      </c>
      <c r="Q345" t="s">
        <v>22</v>
      </c>
    </row>
    <row r="346" spans="1:17">
      <c r="A346" t="s">
        <v>393</v>
      </c>
      <c r="B346" t="s">
        <v>46</v>
      </c>
      <c r="C346" t="s">
        <v>26</v>
      </c>
      <c r="D346" t="s">
        <v>38</v>
      </c>
      <c r="E346" t="s">
        <v>43</v>
      </c>
      <c r="F346" s="2">
        <v>15377.77</v>
      </c>
      <c r="G346" s="3">
        <v>45</v>
      </c>
      <c r="H346" s="3">
        <v>86</v>
      </c>
      <c r="I346" s="3">
        <v>0</v>
      </c>
      <c r="J346" s="3">
        <v>46</v>
      </c>
      <c r="K346" s="3">
        <v>171</v>
      </c>
      <c r="L346" t="s">
        <v>22</v>
      </c>
      <c r="M346" s="3">
        <v>0</v>
      </c>
      <c r="N346" t="s">
        <v>23</v>
      </c>
      <c r="O346" t="s">
        <v>22</v>
      </c>
      <c r="P346" t="s">
        <v>24</v>
      </c>
      <c r="Q346" t="s">
        <v>22</v>
      </c>
    </row>
    <row r="347" spans="1:17">
      <c r="A347" t="s">
        <v>394</v>
      </c>
      <c r="B347" t="s">
        <v>18</v>
      </c>
      <c r="C347" t="s">
        <v>31</v>
      </c>
      <c r="D347" t="s">
        <v>38</v>
      </c>
      <c r="E347" t="s">
        <v>21</v>
      </c>
      <c r="F347" s="2">
        <v>2788.04</v>
      </c>
      <c r="G347" s="3">
        <v>45</v>
      </c>
      <c r="H347" s="3">
        <v>12</v>
      </c>
      <c r="I347" s="3">
        <v>1</v>
      </c>
      <c r="J347" s="3">
        <v>53</v>
      </c>
      <c r="K347" s="3">
        <v>67</v>
      </c>
      <c r="L347" t="s">
        <v>22</v>
      </c>
      <c r="M347" s="3">
        <v>0</v>
      </c>
      <c r="N347" t="s">
        <v>23</v>
      </c>
      <c r="O347" t="s">
        <v>22</v>
      </c>
      <c r="P347" t="s">
        <v>28</v>
      </c>
      <c r="Q347" t="s">
        <v>23</v>
      </c>
    </row>
    <row r="348" spans="1:17">
      <c r="A348" t="s">
        <v>395</v>
      </c>
      <c r="B348" t="s">
        <v>18</v>
      </c>
      <c r="C348" t="s">
        <v>37</v>
      </c>
      <c r="D348" t="s">
        <v>27</v>
      </c>
      <c r="E348" t="s">
        <v>40</v>
      </c>
      <c r="F348" s="2">
        <v>7220.34</v>
      </c>
      <c r="G348" s="3">
        <v>45</v>
      </c>
      <c r="H348" s="3">
        <v>13</v>
      </c>
      <c r="I348" s="3">
        <v>5</v>
      </c>
      <c r="J348" s="3">
        <v>59</v>
      </c>
      <c r="K348" s="3">
        <v>88</v>
      </c>
      <c r="L348" t="s">
        <v>23</v>
      </c>
      <c r="M348" s="3">
        <v>4</v>
      </c>
      <c r="N348" t="s">
        <v>23</v>
      </c>
      <c r="O348" t="s">
        <v>22</v>
      </c>
      <c r="P348" t="s">
        <v>24</v>
      </c>
      <c r="Q348" t="s">
        <v>23</v>
      </c>
    </row>
    <row r="349" spans="1:17">
      <c r="A349" t="s">
        <v>396</v>
      </c>
      <c r="B349" t="s">
        <v>18</v>
      </c>
      <c r="C349" t="s">
        <v>52</v>
      </c>
      <c r="D349" t="s">
        <v>20</v>
      </c>
      <c r="E349" t="s">
        <v>58</v>
      </c>
      <c r="F349" s="2">
        <v>5643.34</v>
      </c>
      <c r="G349" s="3">
        <v>45</v>
      </c>
      <c r="H349" s="3">
        <v>23</v>
      </c>
      <c r="I349" s="3">
        <v>1</v>
      </c>
      <c r="J349" s="3">
        <v>46</v>
      </c>
      <c r="K349" s="3">
        <v>59</v>
      </c>
      <c r="L349" t="s">
        <v>22</v>
      </c>
      <c r="M349" s="3">
        <v>0</v>
      </c>
      <c r="N349" t="s">
        <v>23</v>
      </c>
      <c r="O349" t="s">
        <v>23</v>
      </c>
      <c r="P349" t="s">
        <v>24</v>
      </c>
      <c r="Q349" t="s">
        <v>22</v>
      </c>
    </row>
    <row r="350" spans="1:17">
      <c r="A350" t="s">
        <v>397</v>
      </c>
      <c r="B350" t="s">
        <v>30</v>
      </c>
      <c r="C350" t="s">
        <v>52</v>
      </c>
      <c r="D350" t="s">
        <v>27</v>
      </c>
      <c r="E350" t="s">
        <v>32</v>
      </c>
      <c r="F350" s="2">
        <v>20171.150000000001</v>
      </c>
      <c r="G350" s="3">
        <v>30</v>
      </c>
      <c r="H350" s="3">
        <v>52</v>
      </c>
      <c r="I350" s="3">
        <v>1</v>
      </c>
      <c r="J350" s="3">
        <v>40</v>
      </c>
      <c r="K350" s="3">
        <v>48</v>
      </c>
      <c r="L350" t="s">
        <v>22</v>
      </c>
      <c r="M350" s="3">
        <v>0</v>
      </c>
      <c r="N350" t="s">
        <v>22</v>
      </c>
      <c r="O350" t="s">
        <v>22</v>
      </c>
      <c r="P350" t="s">
        <v>28</v>
      </c>
      <c r="Q350" t="s">
        <v>22</v>
      </c>
    </row>
    <row r="351" spans="1:17">
      <c r="A351" t="s">
        <v>398</v>
      </c>
      <c r="B351" t="s">
        <v>30</v>
      </c>
      <c r="C351" t="s">
        <v>55</v>
      </c>
      <c r="D351" t="s">
        <v>27</v>
      </c>
      <c r="E351" t="s">
        <v>43</v>
      </c>
      <c r="F351" s="2">
        <v>31543.58</v>
      </c>
      <c r="G351" s="3">
        <v>45</v>
      </c>
      <c r="H351" s="3">
        <v>66</v>
      </c>
      <c r="I351" s="3">
        <v>1</v>
      </c>
      <c r="J351" s="3">
        <v>41</v>
      </c>
      <c r="K351" s="3">
        <v>18</v>
      </c>
      <c r="L351" t="s">
        <v>23</v>
      </c>
      <c r="M351" s="3">
        <v>2</v>
      </c>
      <c r="N351" t="s">
        <v>23</v>
      </c>
      <c r="O351" t="s">
        <v>23</v>
      </c>
      <c r="P351" t="s">
        <v>24</v>
      </c>
      <c r="Q351" t="s">
        <v>22</v>
      </c>
    </row>
    <row r="352" spans="1:17">
      <c r="A352" t="s">
        <v>399</v>
      </c>
      <c r="B352" t="s">
        <v>46</v>
      </c>
      <c r="C352" t="s">
        <v>31</v>
      </c>
      <c r="D352" t="s">
        <v>47</v>
      </c>
      <c r="E352" t="s">
        <v>48</v>
      </c>
      <c r="F352" s="2">
        <v>43959.18</v>
      </c>
      <c r="G352" s="3">
        <v>45</v>
      </c>
      <c r="H352" s="3">
        <v>96</v>
      </c>
      <c r="I352" s="3">
        <v>0</v>
      </c>
      <c r="J352" s="3">
        <v>46</v>
      </c>
      <c r="K352" s="3">
        <v>171</v>
      </c>
      <c r="L352" t="s">
        <v>22</v>
      </c>
      <c r="M352" s="3">
        <v>1</v>
      </c>
      <c r="N352" t="s">
        <v>22</v>
      </c>
      <c r="O352" t="s">
        <v>22</v>
      </c>
      <c r="P352" t="s">
        <v>28</v>
      </c>
      <c r="Q352" t="s">
        <v>23</v>
      </c>
    </row>
    <row r="353" spans="1:17">
      <c r="A353" t="s">
        <v>400</v>
      </c>
      <c r="B353" t="s">
        <v>18</v>
      </c>
      <c r="C353" t="s">
        <v>26</v>
      </c>
      <c r="D353" t="s">
        <v>38</v>
      </c>
      <c r="E353" t="s">
        <v>85</v>
      </c>
      <c r="F353" s="2">
        <v>8291.42</v>
      </c>
      <c r="G353" s="3">
        <v>60</v>
      </c>
      <c r="H353" s="3">
        <v>18</v>
      </c>
      <c r="I353" s="3">
        <v>1</v>
      </c>
      <c r="J353" s="3">
        <v>73</v>
      </c>
      <c r="K353" s="3">
        <v>77</v>
      </c>
      <c r="L353" t="s">
        <v>22</v>
      </c>
      <c r="M353" s="3">
        <v>4</v>
      </c>
      <c r="N353" t="s">
        <v>22</v>
      </c>
      <c r="O353" t="s">
        <v>22</v>
      </c>
      <c r="P353" t="s">
        <v>24</v>
      </c>
      <c r="Q353" t="s">
        <v>23</v>
      </c>
    </row>
    <row r="354" spans="1:17">
      <c r="A354" t="s">
        <v>401</v>
      </c>
      <c r="B354" t="s">
        <v>18</v>
      </c>
      <c r="C354" t="s">
        <v>55</v>
      </c>
      <c r="D354" t="s">
        <v>42</v>
      </c>
      <c r="E354" t="s">
        <v>43</v>
      </c>
      <c r="F354" s="2">
        <v>4826.58</v>
      </c>
      <c r="G354" s="3">
        <v>45</v>
      </c>
      <c r="H354" s="3">
        <v>32</v>
      </c>
      <c r="I354" s="3">
        <v>1</v>
      </c>
      <c r="J354" s="3">
        <v>58</v>
      </c>
      <c r="K354" s="3">
        <v>14</v>
      </c>
      <c r="L354" t="s">
        <v>22</v>
      </c>
      <c r="M354" s="3">
        <v>0</v>
      </c>
      <c r="N354" t="s">
        <v>23</v>
      </c>
      <c r="O354" t="s">
        <v>22</v>
      </c>
      <c r="P354" t="s">
        <v>24</v>
      </c>
      <c r="Q354" t="s">
        <v>23</v>
      </c>
    </row>
    <row r="355" spans="1:17">
      <c r="A355" t="s">
        <v>402</v>
      </c>
      <c r="B355" t="s">
        <v>18</v>
      </c>
      <c r="C355" t="s">
        <v>31</v>
      </c>
      <c r="D355" t="s">
        <v>20</v>
      </c>
      <c r="E355" t="s">
        <v>50</v>
      </c>
      <c r="F355" s="2">
        <v>6833.09</v>
      </c>
      <c r="G355" s="3">
        <v>45</v>
      </c>
      <c r="H355" s="3">
        <v>22</v>
      </c>
      <c r="I355" s="3">
        <v>1</v>
      </c>
      <c r="J355" s="3">
        <v>55</v>
      </c>
      <c r="K355" s="3">
        <v>53</v>
      </c>
      <c r="L355" t="s">
        <v>22</v>
      </c>
      <c r="M355" s="3">
        <v>0</v>
      </c>
      <c r="N355" t="s">
        <v>22</v>
      </c>
      <c r="O355" t="s">
        <v>22</v>
      </c>
      <c r="P355" t="s">
        <v>24</v>
      </c>
      <c r="Q355" t="s">
        <v>22</v>
      </c>
    </row>
    <row r="356" spans="1:17">
      <c r="A356" t="s">
        <v>403</v>
      </c>
      <c r="B356" t="s">
        <v>18</v>
      </c>
      <c r="C356" t="s">
        <v>55</v>
      </c>
      <c r="D356" t="s">
        <v>38</v>
      </c>
      <c r="E356" t="s">
        <v>43</v>
      </c>
      <c r="F356" s="2">
        <v>6184.23</v>
      </c>
      <c r="G356" s="3">
        <v>45</v>
      </c>
      <c r="H356" s="3">
        <v>23</v>
      </c>
      <c r="I356" s="3">
        <v>3</v>
      </c>
      <c r="J356" s="3">
        <v>65</v>
      </c>
      <c r="K356" s="3">
        <v>154</v>
      </c>
      <c r="L356" t="s">
        <v>22</v>
      </c>
      <c r="M356" s="3">
        <v>2</v>
      </c>
      <c r="N356" t="s">
        <v>22</v>
      </c>
      <c r="O356" t="s">
        <v>22</v>
      </c>
      <c r="P356" t="s">
        <v>28</v>
      </c>
      <c r="Q356" t="s">
        <v>23</v>
      </c>
    </row>
    <row r="357" spans="1:17">
      <c r="A357" t="s">
        <v>404</v>
      </c>
      <c r="B357" t="s">
        <v>18</v>
      </c>
      <c r="C357" t="s">
        <v>52</v>
      </c>
      <c r="D357" t="s">
        <v>27</v>
      </c>
      <c r="E357" t="s">
        <v>50</v>
      </c>
      <c r="F357" s="2">
        <v>6359.48</v>
      </c>
      <c r="G357" s="3">
        <v>15</v>
      </c>
      <c r="H357" s="3">
        <v>8</v>
      </c>
      <c r="I357" s="3">
        <v>1</v>
      </c>
      <c r="J357" s="3">
        <v>26</v>
      </c>
      <c r="K357" s="3">
        <v>9</v>
      </c>
      <c r="L357" t="s">
        <v>22</v>
      </c>
      <c r="M357" s="3">
        <v>0</v>
      </c>
      <c r="N357" t="s">
        <v>23</v>
      </c>
      <c r="O357" t="s">
        <v>22</v>
      </c>
      <c r="P357" t="s">
        <v>24</v>
      </c>
      <c r="Q357" t="s">
        <v>22</v>
      </c>
    </row>
    <row r="358" spans="1:17">
      <c r="A358" t="s">
        <v>405</v>
      </c>
      <c r="B358" t="s">
        <v>30</v>
      </c>
      <c r="C358" t="s">
        <v>31</v>
      </c>
      <c r="D358" t="s">
        <v>42</v>
      </c>
      <c r="E358" t="s">
        <v>40</v>
      </c>
      <c r="F358" s="2">
        <v>15507.29</v>
      </c>
      <c r="G358" s="3">
        <v>30</v>
      </c>
      <c r="H358" s="3">
        <v>12</v>
      </c>
      <c r="I358" s="3">
        <v>0</v>
      </c>
      <c r="J358" s="3">
        <v>24</v>
      </c>
      <c r="K358" s="3">
        <v>9</v>
      </c>
      <c r="L358" t="s">
        <v>22</v>
      </c>
      <c r="M358" s="3">
        <v>1</v>
      </c>
      <c r="N358" t="s">
        <v>22</v>
      </c>
      <c r="O358" t="s">
        <v>22</v>
      </c>
      <c r="P358" t="s">
        <v>24</v>
      </c>
      <c r="Q358" t="s">
        <v>22</v>
      </c>
    </row>
    <row r="359" spans="1:17">
      <c r="A359" t="s">
        <v>406</v>
      </c>
      <c r="B359" t="s">
        <v>30</v>
      </c>
      <c r="C359" t="s">
        <v>52</v>
      </c>
      <c r="D359" t="s">
        <v>38</v>
      </c>
      <c r="E359" t="s">
        <v>85</v>
      </c>
      <c r="F359" s="2">
        <v>26096.82</v>
      </c>
      <c r="G359" s="3">
        <v>30</v>
      </c>
      <c r="H359" s="3">
        <v>7</v>
      </c>
      <c r="I359" s="3">
        <v>0</v>
      </c>
      <c r="J359" s="3">
        <v>22</v>
      </c>
      <c r="K359" s="3">
        <v>57</v>
      </c>
      <c r="L359" t="s">
        <v>23</v>
      </c>
      <c r="M359" s="3">
        <v>2</v>
      </c>
      <c r="N359" t="s">
        <v>23</v>
      </c>
      <c r="O359" t="s">
        <v>22</v>
      </c>
      <c r="P359" t="s">
        <v>24</v>
      </c>
      <c r="Q359" t="s">
        <v>22</v>
      </c>
    </row>
    <row r="360" spans="1:17">
      <c r="A360" t="s">
        <v>407</v>
      </c>
      <c r="B360" t="s">
        <v>30</v>
      </c>
      <c r="C360" t="s">
        <v>55</v>
      </c>
      <c r="D360" t="s">
        <v>27</v>
      </c>
      <c r="E360" t="s">
        <v>60</v>
      </c>
      <c r="F360" s="2">
        <v>8104.53</v>
      </c>
      <c r="G360" s="3">
        <v>30</v>
      </c>
      <c r="H360" s="3">
        <v>55</v>
      </c>
      <c r="I360" s="3">
        <v>3</v>
      </c>
      <c r="J360" s="3">
        <v>32</v>
      </c>
      <c r="K360" s="3">
        <v>152</v>
      </c>
      <c r="L360" t="s">
        <v>22</v>
      </c>
      <c r="M360" s="3">
        <v>4</v>
      </c>
      <c r="N360" t="s">
        <v>23</v>
      </c>
      <c r="O360" t="s">
        <v>22</v>
      </c>
      <c r="P360" t="s">
        <v>28</v>
      </c>
      <c r="Q360" t="s">
        <v>23</v>
      </c>
    </row>
    <row r="361" spans="1:17">
      <c r="A361" t="s">
        <v>408</v>
      </c>
      <c r="B361" t="s">
        <v>18</v>
      </c>
      <c r="C361" t="s">
        <v>55</v>
      </c>
      <c r="D361" t="s">
        <v>66</v>
      </c>
      <c r="E361" t="s">
        <v>32</v>
      </c>
      <c r="F361" s="2">
        <v>4340.22</v>
      </c>
      <c r="G361" s="3">
        <v>45</v>
      </c>
      <c r="H361" s="3">
        <v>2</v>
      </c>
      <c r="I361" s="3">
        <v>2</v>
      </c>
      <c r="J361" s="3">
        <v>54</v>
      </c>
      <c r="K361" s="3">
        <v>14</v>
      </c>
      <c r="L361" t="s">
        <v>22</v>
      </c>
      <c r="M361" s="3">
        <v>0</v>
      </c>
      <c r="N361" t="s">
        <v>22</v>
      </c>
      <c r="O361" t="s">
        <v>22</v>
      </c>
      <c r="P361" t="s">
        <v>35</v>
      </c>
      <c r="Q361" t="s">
        <v>23</v>
      </c>
    </row>
  </sheetData>
  <conditionalFormatting sqref="Q2:Q361">
    <cfRule type="expression" dxfId="1" priority="1">
      <formula>Q2="Yes"</formula>
    </cfRule>
    <cfRule type="expression" dxfId="0" priority="2">
      <formula>Q2="No"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baseColWidth="10" defaultColWidth="8.83203125" defaultRowHeight="14"/>
  <cols>
    <col min="1" max="1" width="32" customWidth="1"/>
    <col min="2" max="2" width="18" customWidth="1"/>
    <col min="3" max="3" width="72" customWidth="1"/>
    <col min="4" max="4" width="38" customWidth="1"/>
  </cols>
  <sheetData>
    <row r="1" spans="1:4" ht="16">
      <c r="A1" s="1" t="s">
        <v>409</v>
      </c>
      <c r="B1" s="1" t="s">
        <v>410</v>
      </c>
      <c r="C1" s="1" t="s">
        <v>411</v>
      </c>
      <c r="D1" s="1" t="s">
        <v>412</v>
      </c>
    </row>
    <row r="2" spans="1:4" ht="15">
      <c r="A2" s="4" t="s">
        <v>0</v>
      </c>
      <c r="B2" s="4" t="s">
        <v>413</v>
      </c>
      <c r="C2" s="4" t="s">
        <v>414</v>
      </c>
      <c r="D2" s="4" t="s">
        <v>17</v>
      </c>
    </row>
    <row r="3" spans="1:4" ht="15">
      <c r="A3" s="4" t="s">
        <v>1</v>
      </c>
      <c r="B3" s="4" t="s">
        <v>415</v>
      </c>
      <c r="C3" s="4" t="s">
        <v>416</v>
      </c>
      <c r="D3" s="4" t="s">
        <v>417</v>
      </c>
    </row>
    <row r="4" spans="1:4" ht="15">
      <c r="A4" s="4" t="s">
        <v>2</v>
      </c>
      <c r="B4" s="4" t="s">
        <v>415</v>
      </c>
      <c r="C4" s="4" t="s">
        <v>418</v>
      </c>
      <c r="D4" s="4" t="s">
        <v>419</v>
      </c>
    </row>
    <row r="5" spans="1:4" ht="15">
      <c r="A5" s="4" t="s">
        <v>3</v>
      </c>
      <c r="B5" s="4" t="s">
        <v>415</v>
      </c>
      <c r="C5" s="4" t="s">
        <v>420</v>
      </c>
      <c r="D5" s="4" t="s">
        <v>421</v>
      </c>
    </row>
    <row r="6" spans="1:4" ht="15">
      <c r="A6" s="4" t="s">
        <v>4</v>
      </c>
      <c r="B6" s="4" t="s">
        <v>415</v>
      </c>
      <c r="C6" s="4" t="s">
        <v>422</v>
      </c>
      <c r="D6" s="4" t="s">
        <v>423</v>
      </c>
    </row>
    <row r="7" spans="1:4" ht="15">
      <c r="A7" s="4" t="s">
        <v>5</v>
      </c>
      <c r="B7" s="4" t="s">
        <v>424</v>
      </c>
      <c r="C7" s="4" t="s">
        <v>425</v>
      </c>
      <c r="D7" s="4" t="s">
        <v>426</v>
      </c>
    </row>
    <row r="8" spans="1:4" ht="15">
      <c r="A8" s="4" t="s">
        <v>6</v>
      </c>
      <c r="B8" s="4" t="s">
        <v>424</v>
      </c>
      <c r="C8" s="4" t="s">
        <v>427</v>
      </c>
      <c r="D8" s="4" t="s">
        <v>428</v>
      </c>
    </row>
    <row r="9" spans="1:4" ht="15">
      <c r="A9" s="4" t="s">
        <v>7</v>
      </c>
      <c r="B9" s="4" t="s">
        <v>424</v>
      </c>
      <c r="C9" s="4" t="s">
        <v>429</v>
      </c>
      <c r="D9" s="4" t="s">
        <v>430</v>
      </c>
    </row>
    <row r="10" spans="1:4" ht="15">
      <c r="A10" s="4" t="s">
        <v>8</v>
      </c>
      <c r="B10" s="4" t="s">
        <v>424</v>
      </c>
      <c r="C10" s="4" t="s">
        <v>431</v>
      </c>
      <c r="D10" s="4" t="s">
        <v>432</v>
      </c>
    </row>
    <row r="11" spans="1:4" ht="15">
      <c r="A11" s="4" t="s">
        <v>9</v>
      </c>
      <c r="B11" s="4" t="s">
        <v>424</v>
      </c>
      <c r="C11" s="4" t="s">
        <v>433</v>
      </c>
      <c r="D11" s="4" t="s">
        <v>434</v>
      </c>
    </row>
    <row r="12" spans="1:4" ht="15">
      <c r="A12" s="4" t="s">
        <v>10</v>
      </c>
      <c r="B12" s="4" t="s">
        <v>424</v>
      </c>
      <c r="C12" s="4" t="s">
        <v>435</v>
      </c>
      <c r="D12" s="4" t="s">
        <v>436</v>
      </c>
    </row>
    <row r="13" spans="1:4" ht="15">
      <c r="A13" s="4" t="s">
        <v>11</v>
      </c>
      <c r="B13" s="4" t="s">
        <v>415</v>
      </c>
      <c r="C13" s="4" t="s">
        <v>437</v>
      </c>
      <c r="D13" s="4" t="s">
        <v>438</v>
      </c>
    </row>
    <row r="14" spans="1:4" ht="15">
      <c r="A14" s="4" t="s">
        <v>12</v>
      </c>
      <c r="B14" s="4" t="s">
        <v>424</v>
      </c>
      <c r="C14" s="4" t="s">
        <v>439</v>
      </c>
      <c r="D14" s="4" t="s">
        <v>432</v>
      </c>
    </row>
    <row r="15" spans="1:4" ht="15">
      <c r="A15" s="4" t="s">
        <v>13</v>
      </c>
      <c r="B15" s="4" t="s">
        <v>415</v>
      </c>
      <c r="C15" s="4" t="s">
        <v>440</v>
      </c>
      <c r="D15" s="4" t="s">
        <v>438</v>
      </c>
    </row>
    <row r="16" spans="1:4" ht="15">
      <c r="A16" s="4" t="s">
        <v>14</v>
      </c>
      <c r="B16" s="4" t="s">
        <v>415</v>
      </c>
      <c r="C16" s="4" t="s">
        <v>441</v>
      </c>
      <c r="D16" s="4" t="s">
        <v>438</v>
      </c>
    </row>
    <row r="17" spans="1:4" ht="15">
      <c r="A17" s="4" t="s">
        <v>15</v>
      </c>
      <c r="B17" s="4" t="s">
        <v>415</v>
      </c>
      <c r="C17" s="4" t="s">
        <v>442</v>
      </c>
      <c r="D17" s="4" t="s">
        <v>443</v>
      </c>
    </row>
    <row r="18" spans="1:4" ht="15">
      <c r="A18" s="4" t="s">
        <v>16</v>
      </c>
      <c r="B18" s="4" t="s">
        <v>444</v>
      </c>
      <c r="C18" s="4" t="s">
        <v>445</v>
      </c>
      <c r="D18" s="4" t="s">
        <v>438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4"/>
  <cols>
    <col min="1" max="1" width="30" customWidth="1"/>
    <col min="2" max="2" width="95" customWidth="1"/>
  </cols>
  <sheetData>
    <row r="1" spans="1:2" ht="18">
      <c r="A1" s="5" t="s">
        <v>446</v>
      </c>
      <c r="B1" s="5" t="s">
        <v>447</v>
      </c>
    </row>
    <row r="3" spans="1:2" ht="16">
      <c r="A3" s="6" t="s">
        <v>448</v>
      </c>
      <c r="B3" s="4" t="s">
        <v>449</v>
      </c>
    </row>
    <row r="4" spans="1:2" ht="16">
      <c r="A4" s="6" t="s">
        <v>450</v>
      </c>
      <c r="B4" s="4" t="s">
        <v>451</v>
      </c>
    </row>
    <row r="5" spans="1:2" ht="16">
      <c r="A5" s="6" t="s">
        <v>452</v>
      </c>
      <c r="B5" s="4" t="s">
        <v>453</v>
      </c>
    </row>
    <row r="6" spans="1:2" ht="16">
      <c r="A6" s="6" t="s">
        <v>454</v>
      </c>
      <c r="B6" s="4" t="s">
        <v>16</v>
      </c>
    </row>
    <row r="7" spans="1:2" ht="16">
      <c r="A7" s="6" t="s">
        <v>455</v>
      </c>
      <c r="B7" s="4" t="s">
        <v>456</v>
      </c>
    </row>
    <row r="8" spans="1:2" ht="16">
      <c r="A8" s="6" t="s">
        <v>457</v>
      </c>
      <c r="B8" s="4" t="s">
        <v>458</v>
      </c>
    </row>
    <row r="9" spans="1:2" ht="32">
      <c r="A9" s="6" t="s">
        <v>459</v>
      </c>
      <c r="B9" s="4" t="s">
        <v>460</v>
      </c>
    </row>
    <row r="10" spans="1:2" ht="31">
      <c r="A10" s="6" t="s">
        <v>461</v>
      </c>
      <c r="B10" s="4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baseColWidth="10" defaultColWidth="8.83203125" defaultRowHeight="14"/>
  <cols>
    <col min="1" max="2" width="28" customWidth="1"/>
    <col min="3" max="5" width="16" customWidth="1"/>
  </cols>
  <sheetData>
    <row r="1" spans="1:5" ht="16">
      <c r="A1" s="7" t="s">
        <v>463</v>
      </c>
      <c r="B1" s="8"/>
      <c r="C1" s="8"/>
      <c r="D1" s="8"/>
      <c r="E1" s="8"/>
    </row>
    <row r="2" spans="1:5">
      <c r="A2" s="4"/>
      <c r="B2" s="4"/>
      <c r="C2" s="4"/>
      <c r="D2" s="4"/>
      <c r="E2" s="4"/>
    </row>
    <row r="3" spans="1:5" ht="16">
      <c r="A3" s="1" t="s">
        <v>464</v>
      </c>
      <c r="B3" s="1" t="s">
        <v>465</v>
      </c>
      <c r="C3" s="4"/>
      <c r="D3" s="4"/>
      <c r="E3" s="4"/>
    </row>
    <row r="4" spans="1:5" ht="16">
      <c r="A4" s="6" t="s">
        <v>466</v>
      </c>
      <c r="B4" s="4">
        <v>360</v>
      </c>
      <c r="C4" s="4"/>
      <c r="D4" s="4"/>
      <c r="E4" s="4"/>
    </row>
    <row r="5" spans="1:5" ht="16">
      <c r="A5" s="6" t="s">
        <v>467</v>
      </c>
      <c r="B5" s="4">
        <v>15</v>
      </c>
      <c r="C5" s="4"/>
      <c r="D5" s="4"/>
      <c r="E5" s="4"/>
    </row>
    <row r="6" spans="1:5" ht="16">
      <c r="A6" s="6" t="s">
        <v>454</v>
      </c>
      <c r="B6" s="4" t="s">
        <v>16</v>
      </c>
      <c r="C6" s="4"/>
      <c r="D6" s="4"/>
      <c r="E6" s="4"/>
    </row>
    <row r="7" spans="1:5" ht="16">
      <c r="A7" s="6" t="s">
        <v>468</v>
      </c>
      <c r="B7" s="4">
        <f>COUNTIF(Invoice_Payment_Data!Q2:Q361,"Yes")</f>
        <v>159</v>
      </c>
      <c r="C7" s="4"/>
      <c r="D7" s="4"/>
      <c r="E7" s="4"/>
    </row>
    <row r="8" spans="1:5" ht="16">
      <c r="A8" s="6" t="s">
        <v>469</v>
      </c>
      <c r="B8" s="4">
        <f>COUNTIF(Invoice_Payment_Data!Q2:Q361,"No")</f>
        <v>201</v>
      </c>
      <c r="C8" s="4"/>
      <c r="D8" s="4"/>
      <c r="E8" s="4"/>
    </row>
    <row r="9" spans="1:5">
      <c r="A9" s="4"/>
      <c r="B9" s="4"/>
      <c r="C9" s="4"/>
      <c r="D9" s="4"/>
      <c r="E9" s="4"/>
    </row>
    <row r="10" spans="1:5" ht="16">
      <c r="A10" s="1" t="s">
        <v>470</v>
      </c>
      <c r="B10" s="1" t="s">
        <v>471</v>
      </c>
      <c r="C10" s="4"/>
      <c r="D10" s="4"/>
      <c r="E10" s="4"/>
    </row>
    <row r="11" spans="1:5" ht="15">
      <c r="A11" s="4" t="s">
        <v>18</v>
      </c>
      <c r="B11" s="4">
        <f>COUNTIF(Invoice_Payment_Data!B2:B361,"Small Business")</f>
        <v>156</v>
      </c>
      <c r="C11" s="4"/>
      <c r="D11" s="4"/>
      <c r="E11" s="4"/>
    </row>
    <row r="12" spans="1:5" ht="15">
      <c r="A12" s="4" t="s">
        <v>30</v>
      </c>
      <c r="B12" s="4">
        <f>COUNTIF(Invoice_Payment_Data!B2:B361,"Mid-Market")</f>
        <v>137</v>
      </c>
      <c r="C12" s="4"/>
      <c r="D12" s="4"/>
      <c r="E12" s="4"/>
    </row>
    <row r="13" spans="1:5" ht="15">
      <c r="A13" s="4" t="s">
        <v>46</v>
      </c>
      <c r="B13" s="4">
        <f>COUNTIF(Invoice_Payment_Data!B2:B361,"Enterprise")</f>
        <v>67</v>
      </c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 ht="16">
      <c r="A15" s="1" t="s">
        <v>472</v>
      </c>
      <c r="B15" s="1" t="s">
        <v>471</v>
      </c>
      <c r="C15" s="4"/>
      <c r="D15" s="4"/>
      <c r="E15" s="4"/>
    </row>
    <row r="16" spans="1:5" ht="15">
      <c r="A16" s="4" t="s">
        <v>35</v>
      </c>
      <c r="B16" s="4">
        <f>COUNTIF(Invoice_Payment_Data!P2:P361,"Low")</f>
        <v>70</v>
      </c>
      <c r="C16" s="4"/>
      <c r="D16" s="4"/>
      <c r="E16" s="4"/>
    </row>
    <row r="17" spans="1:5" ht="15">
      <c r="A17" s="4" t="s">
        <v>24</v>
      </c>
      <c r="B17" s="4">
        <f>COUNTIF(Invoice_Payment_Data!P2:P361,"Medium")</f>
        <v>181</v>
      </c>
      <c r="C17" s="4"/>
      <c r="D17" s="4"/>
      <c r="E17" s="4"/>
    </row>
    <row r="18" spans="1:5" ht="15">
      <c r="A18" s="4" t="s">
        <v>28</v>
      </c>
      <c r="B18" s="4">
        <f>COUNTIF(Invoice_Payment_Data!P2:P361,"High")</f>
        <v>109</v>
      </c>
      <c r="C18" s="4"/>
      <c r="D18" s="4"/>
      <c r="E18" s="4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Invoice_Payment_Data</vt:lpstr>
      <vt:lpstr>Data_Dictionary</vt:lpstr>
      <vt:lpstr>Assignment_Notes</vt:lpstr>
      <vt:lpstr>Dataset_Summary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Nguyen</cp:lastModifiedBy>
  <dcterms:modified xsi:type="dcterms:W3CDTF">2026-05-28T20:12:00Z</dcterms:modified>
</cp:coreProperties>
</file>